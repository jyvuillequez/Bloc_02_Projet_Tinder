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fac481abea6bd0/10 - JEDHA/05 - RNCP35288_CDSD/Bloc_02_Projet_Tinder/data/"/>
    </mc:Choice>
  </mc:AlternateContent>
  <xr:revisionPtr revIDLastSave="809" documentId="8_{878E3B0C-3642-4D25-AD79-1C38AAE7A25C}" xr6:coauthVersionLast="47" xr6:coauthVersionMax="47" xr10:uidLastSave="{55E82DB1-C7EE-41DF-AD45-1B57C249F1C1}"/>
  <bookViews>
    <workbookView xWindow="-110" yWindow="-110" windowWidth="25820" windowHeight="15500" xr2:uid="{4E4D9F59-9214-4DD1-993D-07ABF9081309}"/>
  </bookViews>
  <sheets>
    <sheet name="Dictionnaire données" sheetId="2" r:id="rId1"/>
    <sheet name="Méthodologie" sheetId="4" r:id="rId2"/>
  </sheets>
  <definedNames>
    <definedName name="_xlnm._FilterDatabase" localSheetId="0" hidden="1">'Dictionnaire données'!$A$1:$Q$196</definedName>
    <definedName name="_xlnm._FilterDatabase" localSheetId="1" hidden="1">Méthodologie!$A$1:$C$2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Q3" i="2" s="1"/>
  <c r="N3" i="2"/>
  <c r="J4" i="2"/>
  <c r="N4" i="2"/>
  <c r="J5" i="2"/>
  <c r="N5" i="2"/>
  <c r="J6" i="2"/>
  <c r="N6" i="2"/>
  <c r="J7" i="2"/>
  <c r="N7" i="2"/>
  <c r="J8" i="2"/>
  <c r="N8" i="2"/>
  <c r="J9" i="2"/>
  <c r="N9" i="2"/>
  <c r="J10" i="2"/>
  <c r="N10" i="2"/>
  <c r="J11" i="2"/>
  <c r="Q11" i="2" s="1"/>
  <c r="N11" i="2"/>
  <c r="J12" i="2"/>
  <c r="N12" i="2"/>
  <c r="J13" i="2"/>
  <c r="N13" i="2"/>
  <c r="J14" i="2"/>
  <c r="N14" i="2"/>
  <c r="J15" i="2"/>
  <c r="N15" i="2"/>
  <c r="J16" i="2"/>
  <c r="N16" i="2"/>
  <c r="J17" i="2"/>
  <c r="N17" i="2"/>
  <c r="J18" i="2"/>
  <c r="N18" i="2"/>
  <c r="J19" i="2"/>
  <c r="Q19" i="2" s="1"/>
  <c r="N19" i="2"/>
  <c r="J25" i="2"/>
  <c r="N25" i="2"/>
  <c r="J26" i="2"/>
  <c r="N26" i="2"/>
  <c r="J35" i="2"/>
  <c r="N35" i="2"/>
  <c r="J36" i="2"/>
  <c r="N36" i="2"/>
  <c r="J37" i="2"/>
  <c r="N37" i="2"/>
  <c r="J38" i="2"/>
  <c r="N38" i="2"/>
  <c r="J39" i="2"/>
  <c r="N39" i="2"/>
  <c r="J40" i="2"/>
  <c r="Q40" i="2" s="1"/>
  <c r="N40" i="2"/>
  <c r="J41" i="2"/>
  <c r="N41" i="2"/>
  <c r="J42" i="2"/>
  <c r="N42" i="2"/>
  <c r="J43" i="2"/>
  <c r="N43" i="2"/>
  <c r="J44" i="2"/>
  <c r="N44" i="2"/>
  <c r="J45" i="2"/>
  <c r="N45" i="2"/>
  <c r="J46" i="2"/>
  <c r="N46" i="2"/>
  <c r="J47" i="2"/>
  <c r="N47" i="2"/>
  <c r="J48" i="2"/>
  <c r="Q48" i="2" s="1"/>
  <c r="N48" i="2"/>
  <c r="J49" i="2"/>
  <c r="N49" i="2"/>
  <c r="J50" i="2"/>
  <c r="N50" i="2"/>
  <c r="J51" i="2"/>
  <c r="N51" i="2"/>
  <c r="J52" i="2"/>
  <c r="N52" i="2"/>
  <c r="J53" i="2"/>
  <c r="N53" i="2"/>
  <c r="J54" i="2"/>
  <c r="N54" i="2"/>
  <c r="J55" i="2"/>
  <c r="N55" i="2"/>
  <c r="J56" i="2"/>
  <c r="Q56" i="2" s="1"/>
  <c r="N56" i="2"/>
  <c r="J57" i="2"/>
  <c r="N57" i="2"/>
  <c r="J58" i="2"/>
  <c r="N58" i="2"/>
  <c r="J59" i="2"/>
  <c r="N59" i="2"/>
  <c r="J60" i="2"/>
  <c r="N60" i="2"/>
  <c r="J61" i="2"/>
  <c r="N61" i="2"/>
  <c r="J62" i="2"/>
  <c r="N62" i="2"/>
  <c r="J63" i="2"/>
  <c r="N63" i="2"/>
  <c r="J64" i="2"/>
  <c r="Q64" i="2" s="1"/>
  <c r="N64" i="2"/>
  <c r="J65" i="2"/>
  <c r="N65" i="2"/>
  <c r="J66" i="2"/>
  <c r="N66" i="2"/>
  <c r="J67" i="2"/>
  <c r="N67" i="2"/>
  <c r="J68" i="2"/>
  <c r="N68" i="2"/>
  <c r="J69" i="2"/>
  <c r="N69" i="2"/>
  <c r="J70" i="2"/>
  <c r="N70" i="2"/>
  <c r="J71" i="2"/>
  <c r="N71" i="2"/>
  <c r="J72" i="2"/>
  <c r="Q72" i="2" s="1"/>
  <c r="N72" i="2"/>
  <c r="J73" i="2"/>
  <c r="N73" i="2"/>
  <c r="J74" i="2"/>
  <c r="N74" i="2"/>
  <c r="J75" i="2"/>
  <c r="N75" i="2"/>
  <c r="J76" i="2"/>
  <c r="N76" i="2"/>
  <c r="J77" i="2"/>
  <c r="N77" i="2"/>
  <c r="J78" i="2"/>
  <c r="N78" i="2"/>
  <c r="J79" i="2"/>
  <c r="N79" i="2"/>
  <c r="J80" i="2"/>
  <c r="Q80" i="2" s="1"/>
  <c r="N80" i="2"/>
  <c r="J81" i="2"/>
  <c r="N81" i="2"/>
  <c r="J82" i="2"/>
  <c r="N82" i="2"/>
  <c r="J83" i="2"/>
  <c r="N83" i="2"/>
  <c r="J84" i="2"/>
  <c r="N84" i="2"/>
  <c r="J85" i="2"/>
  <c r="N85" i="2"/>
  <c r="J86" i="2"/>
  <c r="N86" i="2"/>
  <c r="J87" i="2"/>
  <c r="N87" i="2"/>
  <c r="J88" i="2"/>
  <c r="Q88" i="2" s="1"/>
  <c r="N88" i="2"/>
  <c r="J89" i="2"/>
  <c r="N89" i="2"/>
  <c r="J90" i="2"/>
  <c r="N90" i="2"/>
  <c r="J91" i="2"/>
  <c r="N91" i="2"/>
  <c r="J92" i="2"/>
  <c r="N92" i="2"/>
  <c r="J93" i="2"/>
  <c r="N93" i="2"/>
  <c r="J94" i="2"/>
  <c r="N94" i="2"/>
  <c r="J95" i="2"/>
  <c r="N95" i="2"/>
  <c r="J96" i="2"/>
  <c r="Q96" i="2" s="1"/>
  <c r="N96" i="2"/>
  <c r="J97" i="2"/>
  <c r="N97" i="2"/>
  <c r="J98" i="2"/>
  <c r="N98" i="2"/>
  <c r="J99" i="2"/>
  <c r="N99" i="2"/>
  <c r="J100" i="2"/>
  <c r="N100" i="2"/>
  <c r="J101" i="2"/>
  <c r="N101" i="2"/>
  <c r="J102" i="2"/>
  <c r="N102" i="2"/>
  <c r="J103" i="2"/>
  <c r="N103" i="2"/>
  <c r="J104" i="2"/>
  <c r="Q104" i="2" s="1"/>
  <c r="N104" i="2"/>
  <c r="J105" i="2"/>
  <c r="N105" i="2"/>
  <c r="J106" i="2"/>
  <c r="N106" i="2"/>
  <c r="J107" i="2"/>
  <c r="N107" i="2"/>
  <c r="J108" i="2"/>
  <c r="N108" i="2"/>
  <c r="J109" i="2"/>
  <c r="N109" i="2"/>
  <c r="J110" i="2"/>
  <c r="N110" i="2"/>
  <c r="J111" i="2"/>
  <c r="N111" i="2"/>
  <c r="J112" i="2"/>
  <c r="Q112" i="2" s="1"/>
  <c r="N112" i="2"/>
  <c r="J113" i="2"/>
  <c r="N113" i="2"/>
  <c r="J114" i="2"/>
  <c r="N114" i="2"/>
  <c r="J115" i="2"/>
  <c r="N115" i="2"/>
  <c r="J116" i="2"/>
  <c r="N116" i="2"/>
  <c r="J117" i="2"/>
  <c r="N117" i="2"/>
  <c r="J118" i="2"/>
  <c r="N118" i="2"/>
  <c r="J119" i="2"/>
  <c r="N119" i="2"/>
  <c r="J120" i="2"/>
  <c r="N120" i="2"/>
  <c r="J121" i="2"/>
  <c r="N121" i="2"/>
  <c r="J122" i="2"/>
  <c r="N122" i="2"/>
  <c r="J123" i="2"/>
  <c r="N123" i="2"/>
  <c r="J124" i="2"/>
  <c r="N124" i="2"/>
  <c r="J125" i="2"/>
  <c r="N125" i="2"/>
  <c r="J126" i="2"/>
  <c r="N126" i="2"/>
  <c r="J127" i="2"/>
  <c r="N127" i="2"/>
  <c r="J128" i="2"/>
  <c r="N128" i="2"/>
  <c r="J129" i="2"/>
  <c r="N129" i="2"/>
  <c r="J130" i="2"/>
  <c r="N130" i="2"/>
  <c r="J131" i="2"/>
  <c r="N131" i="2"/>
  <c r="J132" i="2"/>
  <c r="N132" i="2"/>
  <c r="J133" i="2"/>
  <c r="N133" i="2"/>
  <c r="J134" i="2"/>
  <c r="N134" i="2"/>
  <c r="J135" i="2"/>
  <c r="N135" i="2"/>
  <c r="J136" i="2"/>
  <c r="N136" i="2"/>
  <c r="J137" i="2"/>
  <c r="N137" i="2"/>
  <c r="J138" i="2"/>
  <c r="N138" i="2"/>
  <c r="J139" i="2"/>
  <c r="N139" i="2"/>
  <c r="J140" i="2"/>
  <c r="N140" i="2"/>
  <c r="J141" i="2"/>
  <c r="N141" i="2"/>
  <c r="J142" i="2"/>
  <c r="N142" i="2"/>
  <c r="J143" i="2"/>
  <c r="N143" i="2"/>
  <c r="J144" i="2"/>
  <c r="N144" i="2"/>
  <c r="J145" i="2"/>
  <c r="N145" i="2"/>
  <c r="J146" i="2"/>
  <c r="N146" i="2"/>
  <c r="J147" i="2"/>
  <c r="N147" i="2"/>
  <c r="J148" i="2"/>
  <c r="N148" i="2"/>
  <c r="J149" i="2"/>
  <c r="N149" i="2"/>
  <c r="J150" i="2"/>
  <c r="N150" i="2"/>
  <c r="J151" i="2"/>
  <c r="N151" i="2"/>
  <c r="J152" i="2"/>
  <c r="N152" i="2"/>
  <c r="J153" i="2"/>
  <c r="N153" i="2"/>
  <c r="J154" i="2"/>
  <c r="N154" i="2"/>
  <c r="J155" i="2"/>
  <c r="N155" i="2"/>
  <c r="J156" i="2"/>
  <c r="N156" i="2"/>
  <c r="J157" i="2"/>
  <c r="N157" i="2"/>
  <c r="J158" i="2"/>
  <c r="N158" i="2"/>
  <c r="J159" i="2"/>
  <c r="N159" i="2"/>
  <c r="J160" i="2"/>
  <c r="Q160" i="2" s="1"/>
  <c r="N160" i="2"/>
  <c r="J161" i="2"/>
  <c r="N161" i="2"/>
  <c r="J162" i="2"/>
  <c r="N162" i="2"/>
  <c r="J163" i="2"/>
  <c r="N163" i="2"/>
  <c r="J164" i="2"/>
  <c r="N164" i="2"/>
  <c r="J165" i="2"/>
  <c r="N165" i="2"/>
  <c r="J166" i="2"/>
  <c r="N166" i="2"/>
  <c r="J167" i="2"/>
  <c r="N167" i="2"/>
  <c r="J168" i="2"/>
  <c r="Q168" i="2" s="1"/>
  <c r="N168" i="2"/>
  <c r="J169" i="2"/>
  <c r="N169" i="2"/>
  <c r="J170" i="2"/>
  <c r="N170" i="2"/>
  <c r="J171" i="2"/>
  <c r="N171" i="2"/>
  <c r="J172" i="2"/>
  <c r="N172" i="2"/>
  <c r="J173" i="2"/>
  <c r="N173" i="2"/>
  <c r="J174" i="2"/>
  <c r="N174" i="2"/>
  <c r="J175" i="2"/>
  <c r="N175" i="2"/>
  <c r="J176" i="2"/>
  <c r="Q176" i="2" s="1"/>
  <c r="N176" i="2"/>
  <c r="J177" i="2"/>
  <c r="N177" i="2"/>
  <c r="J178" i="2"/>
  <c r="N178" i="2"/>
  <c r="J179" i="2"/>
  <c r="N179" i="2"/>
  <c r="J180" i="2"/>
  <c r="N180" i="2"/>
  <c r="J181" i="2"/>
  <c r="N181" i="2"/>
  <c r="J182" i="2"/>
  <c r="N182" i="2"/>
  <c r="J183" i="2"/>
  <c r="N183" i="2"/>
  <c r="J184" i="2"/>
  <c r="Q184" i="2" s="1"/>
  <c r="N184" i="2"/>
  <c r="J185" i="2"/>
  <c r="N185" i="2"/>
  <c r="J186" i="2"/>
  <c r="N186" i="2"/>
  <c r="J187" i="2"/>
  <c r="N187" i="2"/>
  <c r="J188" i="2"/>
  <c r="N188" i="2"/>
  <c r="J189" i="2"/>
  <c r="N189" i="2"/>
  <c r="J190" i="2"/>
  <c r="N190" i="2"/>
  <c r="J191" i="2"/>
  <c r="N191" i="2"/>
  <c r="J192" i="2"/>
  <c r="Q192" i="2" s="1"/>
  <c r="N192" i="2"/>
  <c r="J193" i="2"/>
  <c r="N193" i="2"/>
  <c r="J194" i="2"/>
  <c r="N194" i="2"/>
  <c r="J195" i="2"/>
  <c r="N195" i="2"/>
  <c r="J196" i="2"/>
  <c r="N196" i="2"/>
  <c r="Q20" i="2"/>
  <c r="Q21" i="2"/>
  <c r="Q22" i="2"/>
  <c r="Q23" i="2"/>
  <c r="Q24" i="2"/>
  <c r="Q27" i="2"/>
  <c r="Q28" i="2"/>
  <c r="Q29" i="2"/>
  <c r="Q30" i="2"/>
  <c r="Q31" i="2"/>
  <c r="Q32" i="2"/>
  <c r="Q33" i="2"/>
  <c r="Q34" i="2"/>
  <c r="N2" i="2"/>
  <c r="J2" i="2"/>
  <c r="Q164" i="2" l="1"/>
  <c r="Q84" i="2"/>
  <c r="Q44" i="2"/>
  <c r="Q196" i="2"/>
  <c r="Q116" i="2"/>
  <c r="Q15" i="2"/>
  <c r="Q100" i="2"/>
  <c r="Q36" i="2"/>
  <c r="Q172" i="2"/>
  <c r="Q76" i="2"/>
  <c r="Q52" i="2"/>
  <c r="Q188" i="2"/>
  <c r="Q92" i="2"/>
  <c r="Q68" i="2"/>
  <c r="Q7" i="2"/>
  <c r="Q180" i="2"/>
  <c r="Q108" i="2"/>
  <c r="Q60" i="2"/>
  <c r="Q124" i="2"/>
  <c r="Q148" i="2"/>
  <c r="Q152" i="2"/>
  <c r="Q128" i="2"/>
  <c r="Q156" i="2"/>
  <c r="Q132" i="2"/>
  <c r="Q120" i="2"/>
  <c r="Q2" i="2"/>
  <c r="Q177" i="2"/>
  <c r="Q173" i="2"/>
  <c r="Q189" i="2"/>
  <c r="Q165" i="2"/>
  <c r="Q153" i="2"/>
  <c r="Q137" i="2"/>
  <c r="Q125" i="2"/>
  <c r="Q117" i="2"/>
  <c r="Q109" i="2"/>
  <c r="Q97" i="2"/>
  <c r="Q89" i="2"/>
  <c r="Q77" i="2"/>
  <c r="Q65" i="2"/>
  <c r="Q57" i="2"/>
  <c r="Q49" i="2"/>
  <c r="Q45" i="2"/>
  <c r="Q41" i="2"/>
  <c r="Q37" i="2"/>
  <c r="Q25" i="2"/>
  <c r="Q185" i="2"/>
  <c r="Q169" i="2"/>
  <c r="Q161" i="2"/>
  <c r="Q157" i="2"/>
  <c r="Q149" i="2"/>
  <c r="Q133" i="2"/>
  <c r="Q129" i="2"/>
  <c r="Q121" i="2"/>
  <c r="Q113" i="2"/>
  <c r="Q105" i="2"/>
  <c r="Q101" i="2"/>
  <c r="Q93" i="2"/>
  <c r="Q85" i="2"/>
  <c r="Q81" i="2"/>
  <c r="Q73" i="2"/>
  <c r="Q69" i="2"/>
  <c r="Q61" i="2"/>
  <c r="Q53" i="2"/>
  <c r="Q193" i="2"/>
  <c r="Q181" i="2"/>
  <c r="Q16" i="2"/>
  <c r="Q12" i="2"/>
  <c r="Q145" i="2"/>
  <c r="Q144" i="2"/>
  <c r="Q140" i="2"/>
  <c r="Q136" i="2"/>
  <c r="Q8" i="2"/>
  <c r="Q4" i="2"/>
  <c r="Q194" i="2"/>
  <c r="Q182" i="2"/>
  <c r="Q170" i="2"/>
  <c r="Q158" i="2"/>
  <c r="Q138" i="2"/>
  <c r="Q126" i="2"/>
  <c r="Q118" i="2"/>
  <c r="Q106" i="2"/>
  <c r="Q94" i="2"/>
  <c r="Q82" i="2"/>
  <c r="Q66" i="2"/>
  <c r="Q150" i="2"/>
  <c r="Q9" i="2"/>
  <c r="Q190" i="2"/>
  <c r="Q178" i="2"/>
  <c r="Q166" i="2"/>
  <c r="Q146" i="2"/>
  <c r="Q134" i="2"/>
  <c r="Q114" i="2"/>
  <c r="Q98" i="2"/>
  <c r="Q78" i="2"/>
  <c r="Q70" i="2"/>
  <c r="Q62" i="2"/>
  <c r="Q58" i="2"/>
  <c r="Q54" i="2"/>
  <c r="Q50" i="2"/>
  <c r="Q46" i="2"/>
  <c r="Q42" i="2"/>
  <c r="Q38" i="2"/>
  <c r="Q26" i="2"/>
  <c r="Q17" i="2"/>
  <c r="Q13" i="2"/>
  <c r="Q186" i="2"/>
  <c r="Q174" i="2"/>
  <c r="Q162" i="2"/>
  <c r="Q154" i="2"/>
  <c r="Q142" i="2"/>
  <c r="Q130" i="2"/>
  <c r="Q122" i="2"/>
  <c r="Q110" i="2"/>
  <c r="Q102" i="2"/>
  <c r="Q90" i="2"/>
  <c r="Q86" i="2"/>
  <c r="Q74" i="2"/>
  <c r="Q5" i="2"/>
  <c r="Q141" i="2"/>
  <c r="Q195" i="2"/>
  <c r="Q187" i="2"/>
  <c r="Q175" i="2"/>
  <c r="Q167" i="2"/>
  <c r="Q159" i="2"/>
  <c r="Q147" i="2"/>
  <c r="Q139" i="2"/>
  <c r="Q131" i="2"/>
  <c r="Q115" i="2"/>
  <c r="Q39" i="2"/>
  <c r="Q191" i="2"/>
  <c r="Q183" i="2"/>
  <c r="Q179" i="2"/>
  <c r="Q171" i="2"/>
  <c r="Q163" i="2"/>
  <c r="Q155" i="2"/>
  <c r="Q151" i="2"/>
  <c r="Q143" i="2"/>
  <c r="Q135" i="2"/>
  <c r="Q127" i="2"/>
  <c r="Q123" i="2"/>
  <c r="Q119" i="2"/>
  <c r="Q111" i="2"/>
  <c r="Q107" i="2"/>
  <c r="Q103" i="2"/>
  <c r="Q99" i="2"/>
  <c r="Q95" i="2"/>
  <c r="Q91" i="2"/>
  <c r="Q87" i="2"/>
  <c r="Q83" i="2"/>
  <c r="Q79" i="2"/>
  <c r="Q75" i="2"/>
  <c r="Q71" i="2"/>
  <c r="Q67" i="2"/>
  <c r="Q63" i="2"/>
  <c r="Q59" i="2"/>
  <c r="Q55" i="2"/>
  <c r="Q51" i="2"/>
  <c r="Q47" i="2"/>
  <c r="Q43" i="2"/>
  <c r="Q35" i="2"/>
  <c r="Q18" i="2"/>
  <c r="Q14" i="2"/>
  <c r="Q10" i="2"/>
  <c r="Q6" i="2"/>
</calcChain>
</file>

<file path=xl/sharedStrings.xml><?xml version="1.0" encoding="utf-8"?>
<sst xmlns="http://schemas.openxmlformats.org/spreadsheetml/2006/main" count="1935" uniqueCount="622">
  <si>
    <t>iid</t>
  </si>
  <si>
    <t>id</t>
  </si>
  <si>
    <t>gender</t>
  </si>
  <si>
    <t>idg</t>
  </si>
  <si>
    <t>condtn</t>
  </si>
  <si>
    <t>wave</t>
  </si>
  <si>
    <t>round</t>
  </si>
  <si>
    <t>position</t>
  </si>
  <si>
    <t>positin1</t>
  </si>
  <si>
    <t>order</t>
  </si>
  <si>
    <t>partner</t>
  </si>
  <si>
    <t>pid</t>
  </si>
  <si>
    <t>match</t>
  </si>
  <si>
    <t>int_corr</t>
  </si>
  <si>
    <t>samerace</t>
  </si>
  <si>
    <t>age_o</t>
  </si>
  <si>
    <t>race_o</t>
  </si>
  <si>
    <t>pf_o_att</t>
  </si>
  <si>
    <t>pf_o_sin</t>
  </si>
  <si>
    <t>pf_o_int</t>
  </si>
  <si>
    <t>pf_o_fun</t>
  </si>
  <si>
    <t>pf_o_amb</t>
  </si>
  <si>
    <t>pf_o_sha</t>
  </si>
  <si>
    <t>dec_o</t>
  </si>
  <si>
    <t>attr_o</t>
  </si>
  <si>
    <t>sinc_o</t>
  </si>
  <si>
    <t>intel_o</t>
  </si>
  <si>
    <t>fun_o</t>
  </si>
  <si>
    <t>amb_o</t>
  </si>
  <si>
    <t>shar_o</t>
  </si>
  <si>
    <t>like_o</t>
  </si>
  <si>
    <t>prob_o</t>
  </si>
  <si>
    <t>met_o</t>
  </si>
  <si>
    <t>age</t>
  </si>
  <si>
    <t>field</t>
  </si>
  <si>
    <t>field_cd</t>
  </si>
  <si>
    <t>undergra</t>
  </si>
  <si>
    <t>mn_sat</t>
  </si>
  <si>
    <t>tuition</t>
  </si>
  <si>
    <t>race</t>
  </si>
  <si>
    <t>imprace</t>
  </si>
  <si>
    <t>imprelig</t>
  </si>
  <si>
    <t>from</t>
  </si>
  <si>
    <t>zipcode</t>
  </si>
  <si>
    <t>income</t>
  </si>
  <si>
    <t>goal</t>
  </si>
  <si>
    <t>date</t>
  </si>
  <si>
    <t>go_out</t>
  </si>
  <si>
    <t>career</t>
  </si>
  <si>
    <t>career_c</t>
  </si>
  <si>
    <t>sports</t>
  </si>
  <si>
    <t>tvsports</t>
  </si>
  <si>
    <t>exercise</t>
  </si>
  <si>
    <t>dining</t>
  </si>
  <si>
    <t>museums</t>
  </si>
  <si>
    <t>art</t>
  </si>
  <si>
    <t>hiking</t>
  </si>
  <si>
    <t>gaming</t>
  </si>
  <si>
    <t>clubbing</t>
  </si>
  <si>
    <t>reading</t>
  </si>
  <si>
    <t>tv</t>
  </si>
  <si>
    <t>theater</t>
  </si>
  <si>
    <t>movies</t>
  </si>
  <si>
    <t>concerts</t>
  </si>
  <si>
    <t>music</t>
  </si>
  <si>
    <t>shopping</t>
  </si>
  <si>
    <t>yoga</t>
  </si>
  <si>
    <t>exphappy</t>
  </si>
  <si>
    <t>expnum</t>
  </si>
  <si>
    <t>attr1_1</t>
  </si>
  <si>
    <t>sinc1_1</t>
  </si>
  <si>
    <t>intel1_1</t>
  </si>
  <si>
    <t>fun1_1</t>
  </si>
  <si>
    <t>amb1_1</t>
  </si>
  <si>
    <t>shar1_1</t>
  </si>
  <si>
    <t>attr4_1</t>
  </si>
  <si>
    <t>sinc4_1</t>
  </si>
  <si>
    <t>intel4_1</t>
  </si>
  <si>
    <t>fun4_1</t>
  </si>
  <si>
    <t>amb4_1</t>
  </si>
  <si>
    <t>shar4_1</t>
  </si>
  <si>
    <t>attr2_1</t>
  </si>
  <si>
    <t>sinc2_1</t>
  </si>
  <si>
    <t>intel2_1</t>
  </si>
  <si>
    <t>fun2_1</t>
  </si>
  <si>
    <t>amb2_1</t>
  </si>
  <si>
    <t>shar2_1</t>
  </si>
  <si>
    <t>attr3_1</t>
  </si>
  <si>
    <t>sinc3_1</t>
  </si>
  <si>
    <t>fun3_1</t>
  </si>
  <si>
    <t>intel3_1</t>
  </si>
  <si>
    <t>amb3_1</t>
  </si>
  <si>
    <t>attr5_1</t>
  </si>
  <si>
    <t>sinc5_1</t>
  </si>
  <si>
    <t>intel5_1</t>
  </si>
  <si>
    <t>fun5_1</t>
  </si>
  <si>
    <t>amb5_1</t>
  </si>
  <si>
    <t>dec</t>
  </si>
  <si>
    <t>attr</t>
  </si>
  <si>
    <t>sinc</t>
  </si>
  <si>
    <t>intel</t>
  </si>
  <si>
    <t>fun</t>
  </si>
  <si>
    <t>amb</t>
  </si>
  <si>
    <t>shar</t>
  </si>
  <si>
    <t>like</t>
  </si>
  <si>
    <t>prob</t>
  </si>
  <si>
    <t>met</t>
  </si>
  <si>
    <t>match_es</t>
  </si>
  <si>
    <t>attr1_s</t>
  </si>
  <si>
    <t>sinc1_s</t>
  </si>
  <si>
    <t>intel1_s</t>
  </si>
  <si>
    <t>fun1_s</t>
  </si>
  <si>
    <t>amb1_s</t>
  </si>
  <si>
    <t>shar1_s</t>
  </si>
  <si>
    <t>attr3_s</t>
  </si>
  <si>
    <t>sinc3_s</t>
  </si>
  <si>
    <t>intel3_s</t>
  </si>
  <si>
    <t>fun3_s</t>
  </si>
  <si>
    <t>amb3_s</t>
  </si>
  <si>
    <t>satis_2</t>
  </si>
  <si>
    <t>length</t>
  </si>
  <si>
    <t>numdat_2</t>
  </si>
  <si>
    <t>attr7_2</t>
  </si>
  <si>
    <t>sinc7_2</t>
  </si>
  <si>
    <t>intel7_2</t>
  </si>
  <si>
    <t>fun7_2</t>
  </si>
  <si>
    <t>amb7_2</t>
  </si>
  <si>
    <t>shar7_2</t>
  </si>
  <si>
    <t>attr1_2</t>
  </si>
  <si>
    <t>sinc1_2</t>
  </si>
  <si>
    <t>intel1_2</t>
  </si>
  <si>
    <t>fun1_2</t>
  </si>
  <si>
    <t>amb1_2</t>
  </si>
  <si>
    <t>shar1_2</t>
  </si>
  <si>
    <t>attr4_2</t>
  </si>
  <si>
    <t>sinc4_2</t>
  </si>
  <si>
    <t>intel4_2</t>
  </si>
  <si>
    <t>fun4_2</t>
  </si>
  <si>
    <t>amb4_2</t>
  </si>
  <si>
    <t>shar4_2</t>
  </si>
  <si>
    <t>attr2_2</t>
  </si>
  <si>
    <t>sinc2_2</t>
  </si>
  <si>
    <t>intel2_2</t>
  </si>
  <si>
    <t>fun2_2</t>
  </si>
  <si>
    <t>amb2_2</t>
  </si>
  <si>
    <t>shar2_2</t>
  </si>
  <si>
    <t>attr3_2</t>
  </si>
  <si>
    <t>sinc3_2</t>
  </si>
  <si>
    <t>intel3_2</t>
  </si>
  <si>
    <t>fun3_2</t>
  </si>
  <si>
    <t>amb3_2</t>
  </si>
  <si>
    <t>attr5_2</t>
  </si>
  <si>
    <t>sinc5_2</t>
  </si>
  <si>
    <t>intel5_2</t>
  </si>
  <si>
    <t>fun5_2</t>
  </si>
  <si>
    <t>amb5_2</t>
  </si>
  <si>
    <t>you_call</t>
  </si>
  <si>
    <t>them_cal</t>
  </si>
  <si>
    <t>date_3</t>
  </si>
  <si>
    <t>numdat_3</t>
  </si>
  <si>
    <t>num_in_3</t>
  </si>
  <si>
    <t>attr1_3</t>
  </si>
  <si>
    <t>sinc1_3</t>
  </si>
  <si>
    <t>intel1_3</t>
  </si>
  <si>
    <t>fun1_3</t>
  </si>
  <si>
    <t>amb1_3</t>
  </si>
  <si>
    <t>shar1_3</t>
  </si>
  <si>
    <t>attr7_3</t>
  </si>
  <si>
    <t>sinc7_3</t>
  </si>
  <si>
    <t>intel7_3</t>
  </si>
  <si>
    <t>fun7_3</t>
  </si>
  <si>
    <t>amb7_3</t>
  </si>
  <si>
    <t>shar7_3</t>
  </si>
  <si>
    <t>attr4_3</t>
  </si>
  <si>
    <t>sinc4_3</t>
  </si>
  <si>
    <t>intel4_3</t>
  </si>
  <si>
    <t>fun4_3</t>
  </si>
  <si>
    <t>amb4_3</t>
  </si>
  <si>
    <t>shar4_3</t>
  </si>
  <si>
    <t>attr2_3</t>
  </si>
  <si>
    <t>sinc2_3</t>
  </si>
  <si>
    <t>intel2_3</t>
  </si>
  <si>
    <t>fun2_3</t>
  </si>
  <si>
    <t>amb2_3</t>
  </si>
  <si>
    <t>shar2_3</t>
  </si>
  <si>
    <t>attr3_3</t>
  </si>
  <si>
    <t>sinc3_3</t>
  </si>
  <si>
    <t>intel3_3</t>
  </si>
  <si>
    <t>fun3_3</t>
  </si>
  <si>
    <t>amb3_3</t>
  </si>
  <si>
    <t>attr5_3</t>
  </si>
  <si>
    <t>sinc5_3</t>
  </si>
  <si>
    <t>intel5_3</t>
  </si>
  <si>
    <t>fun5_3</t>
  </si>
  <si>
    <t>amb5_3</t>
  </si>
  <si>
    <t>gender_group</t>
  </si>
  <si>
    <t>condition</t>
  </si>
  <si>
    <t>nb_people_wave</t>
  </si>
  <si>
    <t>station_num_partner</t>
  </si>
  <si>
    <t>station_num_start</t>
  </si>
  <si>
    <t>number_of_date</t>
  </si>
  <si>
    <t>subject_unique_id</t>
  </si>
  <si>
    <t>subject_wave_id</t>
  </si>
  <si>
    <t>partner_wave_id</t>
  </si>
  <si>
    <t>partner_unique_id</t>
  </si>
  <si>
    <t>interest_correlation</t>
  </si>
  <si>
    <t>same_race</t>
  </si>
  <si>
    <t>partner_age</t>
  </si>
  <si>
    <t>partner_race</t>
  </si>
  <si>
    <t>decision_partner</t>
  </si>
  <si>
    <t>rating_by_partner</t>
  </si>
  <si>
    <t>scr_decision</t>
  </si>
  <si>
    <t>scr_attractive</t>
  </si>
  <si>
    <t>scr_sincere</t>
  </si>
  <si>
    <t>scr_intelligent</t>
  </si>
  <si>
    <t>scr_fun</t>
  </si>
  <si>
    <t>scr_ambitious</t>
  </si>
  <si>
    <t>scr_shared_interests</t>
  </si>
  <si>
    <t>scr_like_person</t>
  </si>
  <si>
    <t>scr_probability</t>
  </si>
  <si>
    <t>scr_previously_met</t>
  </si>
  <si>
    <t>colonne_origine</t>
  </si>
  <si>
    <t>colonne_rename</t>
  </si>
  <si>
    <t>scr_half_attractive_01</t>
  </si>
  <si>
    <t>scr_half_sincere_01</t>
  </si>
  <si>
    <t>scr_half_intelligent_01</t>
  </si>
  <si>
    <t>scr_half_fun_01</t>
  </si>
  <si>
    <t>scr_half_ambitious_01</t>
  </si>
  <si>
    <t>scr_half_shared_interests_01</t>
  </si>
  <si>
    <t>scr_half_attractive_02</t>
  </si>
  <si>
    <t>scr_half_sincere_02</t>
  </si>
  <si>
    <t>scr_half_intelligent_02</t>
  </si>
  <si>
    <t>scr_half_fun_02</t>
  </si>
  <si>
    <t>scr_half_ambitious_02</t>
  </si>
  <si>
    <t>scr_match_estimation</t>
  </si>
  <si>
    <t>partner_preference</t>
  </si>
  <si>
    <t>fwp2_sincere_02</t>
  </si>
  <si>
    <t>fwp2_intelligent_02</t>
  </si>
  <si>
    <t>fwp2_fun_02</t>
  </si>
  <si>
    <t>fwp2_ambitious_02</t>
  </si>
  <si>
    <t>fwp2_shared_interests_02</t>
  </si>
  <si>
    <t>fwp2_attractive_03</t>
  </si>
  <si>
    <t>fwp2_sincere_03</t>
  </si>
  <si>
    <t>fwp2_intelligent_03</t>
  </si>
  <si>
    <t>fwp2_fun_03</t>
  </si>
  <si>
    <t>fwp2_ambitious_03</t>
  </si>
  <si>
    <t>fwp2_attractive_05</t>
  </si>
  <si>
    <t>fwp2_sincere_05</t>
  </si>
  <si>
    <t>fwp2_intelligent_05</t>
  </si>
  <si>
    <t>fwp2_fun_05</t>
  </si>
  <si>
    <t>fwp2_ambitious_05</t>
  </si>
  <si>
    <t>sgup_age</t>
  </si>
  <si>
    <t>sgup_field_study</t>
  </si>
  <si>
    <t>sgup_field_code</t>
  </si>
  <si>
    <t>sgup_school_undergraduate</t>
  </si>
  <si>
    <t>sgup_Median_sat</t>
  </si>
  <si>
    <t>sgup_tuition_undergraduate</t>
  </si>
  <si>
    <t>sgup_race</t>
  </si>
  <si>
    <t>sgup_importance_race</t>
  </si>
  <si>
    <t>sgup_importance_religion</t>
  </si>
  <si>
    <t>sgup_geographic_origin</t>
  </si>
  <si>
    <t>sgup_zipcode</t>
  </si>
  <si>
    <t>sgup_income</t>
  </si>
  <si>
    <t>sgup_goal_event</t>
  </si>
  <si>
    <t>sgup_frequence_date</t>
  </si>
  <si>
    <t>sgup_frequence_go_out</t>
  </si>
  <si>
    <t>sgup_intended_career</t>
  </si>
  <si>
    <t>sgup_career_code</t>
  </si>
  <si>
    <t>sgup_sports_athletics</t>
  </si>
  <si>
    <t>sgup_watching_sports</t>
  </si>
  <si>
    <t>sgup_bodybuilding_exercising</t>
  </si>
  <si>
    <t>sgup_dining_out</t>
  </si>
  <si>
    <t>sgup_museums_galleries</t>
  </si>
  <si>
    <t>sgup_art</t>
  </si>
  <si>
    <t>sgup_hiking_camping</t>
  </si>
  <si>
    <t>sgup_gaming</t>
  </si>
  <si>
    <t>sgup_dancing_clubbing</t>
  </si>
  <si>
    <t>sgup_reading</t>
  </si>
  <si>
    <t>sgup_watching_tv</t>
  </si>
  <si>
    <t>sgup_Theater</t>
  </si>
  <si>
    <t>sgup_Movies</t>
  </si>
  <si>
    <t>sgup_Going to concerts</t>
  </si>
  <si>
    <t>sgup_Music</t>
  </si>
  <si>
    <t>sgup_Shopping</t>
  </si>
  <si>
    <t>sgup_Yoga/meditation</t>
  </si>
  <si>
    <t>sgup_expect_happy</t>
  </si>
  <si>
    <t>sgup_expect_interest_people</t>
  </si>
  <si>
    <t>sgup_attractive_01</t>
  </si>
  <si>
    <t>sgup_sincere_01</t>
  </si>
  <si>
    <t>sgup_intelligent_01</t>
  </si>
  <si>
    <t>sgup_fun_01</t>
  </si>
  <si>
    <t>sgup_Ambitious_01</t>
  </si>
  <si>
    <t>sgup_shared_hobbies_04</t>
  </si>
  <si>
    <t>sgup_attractive_04</t>
  </si>
  <si>
    <t>sgup_sincere_04</t>
  </si>
  <si>
    <t>sgup_intelligent_04</t>
  </si>
  <si>
    <t>sgup_fun_04</t>
  </si>
  <si>
    <t>sgup_ambitious_04</t>
  </si>
  <si>
    <t>sgup_attractive_02</t>
  </si>
  <si>
    <t>sgup_sincere_02</t>
  </si>
  <si>
    <t>sgup_intelligent_02</t>
  </si>
  <si>
    <t>sgup_fun_02</t>
  </si>
  <si>
    <t>sgup_ambitious_02</t>
  </si>
  <si>
    <t>sgup_shared_hobbies_02</t>
  </si>
  <si>
    <t>sgup_attractive_03</t>
  </si>
  <si>
    <t>sgup_sincere_03</t>
  </si>
  <si>
    <t>sgup_fun_03</t>
  </si>
  <si>
    <t>sgup_intelligent_03</t>
  </si>
  <si>
    <t>sgup_ambitious_03</t>
  </si>
  <si>
    <t>sgup_attractive_05</t>
  </si>
  <si>
    <t>sgup_sincere_05</t>
  </si>
  <si>
    <t>sgup_intelligent_05</t>
  </si>
  <si>
    <t>sgup_fun_05</t>
  </si>
  <si>
    <t>sgup_ambitious_05</t>
  </si>
  <si>
    <t>colonne_custom</t>
  </si>
  <si>
    <t/>
  </si>
  <si>
    <t>"</t>
  </si>
  <si>
    <t>:</t>
  </si>
  <si>
    <t>"iid":"subject_unique_id"</t>
  </si>
  <si>
    <t>"id":"subject_wave_id"</t>
  </si>
  <si>
    <t>"gender":"gender"</t>
  </si>
  <si>
    <t>"idg":"gender_group"</t>
  </si>
  <si>
    <t>"condtn":"condition"</t>
  </si>
  <si>
    <t>"wave":"wave"</t>
  </si>
  <si>
    <t>"round":"nb_people_wave"</t>
  </si>
  <si>
    <t>"position":"station_num_partner"</t>
  </si>
  <si>
    <t>"positin1":"station_num_start"</t>
  </si>
  <si>
    <t>"order":"number_of_date"</t>
  </si>
  <si>
    <t>"partner":"partner_wave_id"</t>
  </si>
  <si>
    <t>"pid":"partner_unique_id"</t>
  </si>
  <si>
    <t>"match":"match"</t>
  </si>
  <si>
    <t>"int_corr":"interest_correlation"</t>
  </si>
  <si>
    <t>"samerace":"same_race"</t>
  </si>
  <si>
    <t>"age_o":"partner_age"</t>
  </si>
  <si>
    <t>"race_o":"partner_race"</t>
  </si>
  <si>
    <t>"pf_o_att":"partner_preference"</t>
  </si>
  <si>
    <t>"dec_o":"decision_partner"</t>
  </si>
  <si>
    <t>"attr_o":"rating_by_partner"</t>
  </si>
  <si>
    <t>"age":"sgup_age"</t>
  </si>
  <si>
    <t>"field":"sgup_field_study"</t>
  </si>
  <si>
    <t>"field_cd":"sgup_field_code"</t>
  </si>
  <si>
    <t>"undergra":"sgup_school_undergraduate"</t>
  </si>
  <si>
    <t>"mn_sat":"sgup_Median_sat"</t>
  </si>
  <si>
    <t>"tuition":"sgup_tuition_undergraduate"</t>
  </si>
  <si>
    <t>"race":"sgup_race"</t>
  </si>
  <si>
    <t>"imprace":"sgup_importance_race"</t>
  </si>
  <si>
    <t>"imprelig":"sgup_importance_religion"</t>
  </si>
  <si>
    <t>"from":"sgup_geographic_origin"</t>
  </si>
  <si>
    <t>"zipcode":"sgup_zipcode"</t>
  </si>
  <si>
    <t>"income":"sgup_income"</t>
  </si>
  <si>
    <t>"goal":"sgup_goal_event"</t>
  </si>
  <si>
    <t>"date":"sgup_frequence_date"</t>
  </si>
  <si>
    <t>"go_out":"sgup_frequence_go_out"</t>
  </si>
  <si>
    <t>"career":"sgup_intended_career"</t>
  </si>
  <si>
    <t>"career_c":"sgup_career_code"</t>
  </si>
  <si>
    <t>"sports":"sgup_sports_athletics"</t>
  </si>
  <si>
    <t>"tvsports":"sgup_watching_sports"</t>
  </si>
  <si>
    <t>"exercise":"sgup_bodybuilding_exercising"</t>
  </si>
  <si>
    <t>"dining":"sgup_dining_out"</t>
  </si>
  <si>
    <t>"museums":"sgup_museums_galleries"</t>
  </si>
  <si>
    <t>"art":"sgup_art"</t>
  </si>
  <si>
    <t>"hiking":"sgup_hiking_camping"</t>
  </si>
  <si>
    <t>"gaming":"sgup_gaming"</t>
  </si>
  <si>
    <t>"clubbing":"sgup_dancing_clubbing"</t>
  </si>
  <si>
    <t>"reading":"sgup_reading"</t>
  </si>
  <si>
    <t>"tv":"sgup_watching_tv"</t>
  </si>
  <si>
    <t>"theater":"sgup_Theater"</t>
  </si>
  <si>
    <t>"movies":"sgup_Movies"</t>
  </si>
  <si>
    <t>"concerts":"sgup_Going to concerts"</t>
  </si>
  <si>
    <t>"music":"sgup_Music"</t>
  </si>
  <si>
    <t>"shopping":"sgup_Shopping"</t>
  </si>
  <si>
    <t>"yoga":"sgup_Yoga/meditation"</t>
  </si>
  <si>
    <t>"exphappy":"sgup_expect_happy"</t>
  </si>
  <si>
    <t>"expnum":"sgup_expect_interest_people"</t>
  </si>
  <si>
    <t>"attr1_1":"sgup_attractive_01"</t>
  </si>
  <si>
    <t>"sinc1_1":"sgup_sincere_01"</t>
  </si>
  <si>
    <t>"intel1_1":"sgup_intelligent_01"</t>
  </si>
  <si>
    <t>"fun1_1":"sgup_fun_01"</t>
  </si>
  <si>
    <t>"amb1_1":"sgup_Ambitious_01"</t>
  </si>
  <si>
    <t>"shar1_1":"sgup_shared_hobbies_04"</t>
  </si>
  <si>
    <t>"attr4_1":"sgup_attractive_04"</t>
  </si>
  <si>
    <t>"sinc4_1":"sgup_sincere_04"</t>
  </si>
  <si>
    <t>"intel4_1":"sgup_intelligent_04"</t>
  </si>
  <si>
    <t>"fun4_1":"sgup_fun_04"</t>
  </si>
  <si>
    <t>"amb4_1":"sgup_ambitious_04"</t>
  </si>
  <si>
    <t>"shar4_1":"sgup_shared_hobbies_04"</t>
  </si>
  <si>
    <t>"attr2_1":"sgup_attractive_02"</t>
  </si>
  <si>
    <t>"sinc2_1":"sgup_sincere_02"</t>
  </si>
  <si>
    <t>"intel2_1":"sgup_intelligent_02"</t>
  </si>
  <si>
    <t>"fun2_1":"sgup_fun_02"</t>
  </si>
  <si>
    <t>"amb2_1":"sgup_ambitious_02"</t>
  </si>
  <si>
    <t>"shar2_1":"sgup_shared_hobbies_02"</t>
  </si>
  <si>
    <t>"attr3_1":"sgup_attractive_03"</t>
  </si>
  <si>
    <t>"sinc3_1":"sgup_sincere_03"</t>
  </si>
  <si>
    <t>"fun3_1":"sgup_fun_03"</t>
  </si>
  <si>
    <t>"intel3_1":"sgup_intelligent_03"</t>
  </si>
  <si>
    <t>"amb3_1":"sgup_ambitious_03"</t>
  </si>
  <si>
    <t>"attr5_1":"sgup_attractive_05"</t>
  </si>
  <si>
    <t>"sinc5_1":"sgup_sincere_05"</t>
  </si>
  <si>
    <t>"intel5_1":"sgup_intelligent_05"</t>
  </si>
  <si>
    <t>"fun5_1":"sgup_fun_05"</t>
  </si>
  <si>
    <t>"amb5_1":"sgup_ambitious_05"</t>
  </si>
  <si>
    <t>"dec":"scr_decision"</t>
  </si>
  <si>
    <t>"attr":"scr_attractive"</t>
  </si>
  <si>
    <t>"sinc":"scr_sincere"</t>
  </si>
  <si>
    <t>"intel":"scr_intelligent"</t>
  </si>
  <si>
    <t>"fun":"scr_fun"</t>
  </si>
  <si>
    <t>"amb":"scr_ambitious"</t>
  </si>
  <si>
    <t>"shar":"scr_shared_interests"</t>
  </si>
  <si>
    <t>"like":"scr_like_person"</t>
  </si>
  <si>
    <t>"prob":"scr_probability"</t>
  </si>
  <si>
    <t>"met":"scr_previously_met"</t>
  </si>
  <si>
    <t>"match_es":"scr_match_estimation"</t>
  </si>
  <si>
    <t>"attr1_s":"scr_half_attractive_01"</t>
  </si>
  <si>
    <t>"sinc1_s":"scr_half_sincere_01"</t>
  </si>
  <si>
    <t>"intel1_s":"scr_half_intelligent_01"</t>
  </si>
  <si>
    <t>"fun1_s":"scr_half_fun_01"</t>
  </si>
  <si>
    <t>"amb1_s":"scr_half_ambitious_01"</t>
  </si>
  <si>
    <t>"shar1_s":"scr_half_shared_interests_01"</t>
  </si>
  <si>
    <t>"attr3_s":"scr_half_attractive_02"</t>
  </si>
  <si>
    <t>"sinc3_s":"scr_half_sincere_02"</t>
  </si>
  <si>
    <t>"intel3_s":"scr_half_intelligent_02"</t>
  </si>
  <si>
    <t>"fun3_s":"scr_half_fun_02"</t>
  </si>
  <si>
    <t>"amb3_s":"scr_half_ambitious_02"</t>
  </si>
  <si>
    <t>"satis_2":"fwp_satisfaction"</t>
  </si>
  <si>
    <t>"length":"fwp_length"</t>
  </si>
  <si>
    <t>"numdat_2":"fwp_number_speed_dates"</t>
  </si>
  <si>
    <t>"attr7_2":"fwp_attractive_07"</t>
  </si>
  <si>
    <t>"sinc7_2":"fwp_sincere_07"</t>
  </si>
  <si>
    <t>"intel7_2":"fwp_intelligent_07"</t>
  </si>
  <si>
    <t>"fun7_2":"fwp_fun_07"</t>
  </si>
  <si>
    <t>"amb7_2":"fwp_ambitious_07"</t>
  </si>
  <si>
    <t>"shar7_2":"fwp_shared_interests_07"</t>
  </si>
  <si>
    <t>"attr1_2":"fwp_attractive_01"</t>
  </si>
  <si>
    <t>"sinc1_2":"fwp_sincere_01"</t>
  </si>
  <si>
    <t>"intel1_2":"fwp_intelligen_01"</t>
  </si>
  <si>
    <t>"fun1_2":"fwp_fun_01"</t>
  </si>
  <si>
    <t>"amb1_2":"fwp_ambitious_01"</t>
  </si>
  <si>
    <t>"shar1_2":"fwp_shared_interests_01"</t>
  </si>
  <si>
    <t>"attr4_2":"fwp_attractive_04"</t>
  </si>
  <si>
    <t>"sinc4_2":"fwp_sincere_04"</t>
  </si>
  <si>
    <t>"intel4_2":"fwp_intelligent_04"</t>
  </si>
  <si>
    <t>"fun4_2":"fwp_fun_04"</t>
  </si>
  <si>
    <t>"amb4_2":"fwp_ambitious_04"</t>
  </si>
  <si>
    <t>"shar4_2":"fwp_shared_interests_04"</t>
  </si>
  <si>
    <t>"attr2_2":"fwp_attractive_02"</t>
  </si>
  <si>
    <t>"sinc2_2":"fwp_sincere_02"</t>
  </si>
  <si>
    <t>"intel2_2":"fwp_intelligent_02"</t>
  </si>
  <si>
    <t>"fun2_2":"fwp_fun_02"</t>
  </si>
  <si>
    <t>"amb2_2":"fwp_ambitious_02"</t>
  </si>
  <si>
    <t>"shar2_2":"fwp_shared_interests_02"</t>
  </si>
  <si>
    <t>"attr3_2":"fwp_attractive_03"</t>
  </si>
  <si>
    <t>"sinc3_2":"fwp_sincere_03"</t>
  </si>
  <si>
    <t>"intel3_2":"fwp_intelligent_03"</t>
  </si>
  <si>
    <t>"fun3_2":"fwp_fun_03"</t>
  </si>
  <si>
    <t>"amb3_2":"fwp_ambitious_03"</t>
  </si>
  <si>
    <t>"attr5_2":"fwp_attractive_05"</t>
  </si>
  <si>
    <t>"sinc5_2":"fwp_sincere_05"</t>
  </si>
  <si>
    <t>"intel5_2":"fwp_intelligent_05"</t>
  </si>
  <si>
    <t>"fun5_2":"fwp_fun_05"</t>
  </si>
  <si>
    <t>"amb5_2":"fwp_ambitious_05"</t>
  </si>
  <si>
    <t>"you_call":"fwp2_call_contacted"</t>
  </si>
  <si>
    <t>"them_cal":"fwp2_call_received"</t>
  </si>
  <si>
    <t>"date_3":"fwp2_date"</t>
  </si>
  <si>
    <t>"numdat_3":"fwp2_number_speed_dates"</t>
  </si>
  <si>
    <t>"num_in_3":"fwp2_if_speed_dates"</t>
  </si>
  <si>
    <t>"attr1_3":"fwp2_attractive_01"</t>
  </si>
  <si>
    <t>"sinc1_3":"fwp2_Sincere_01"</t>
  </si>
  <si>
    <t>"intel1_3":"fwp2_intelligent_01"</t>
  </si>
  <si>
    <t>"fun1_3":"fwp2_fun_01"</t>
  </si>
  <si>
    <t>"amb1_3":"fwp2_ambitious_01"</t>
  </si>
  <si>
    <t>"shar1_3":"fwp2_shared_interests_01"</t>
  </si>
  <si>
    <t>"attr7_3":"fwp2_attractive_07"</t>
  </si>
  <si>
    <t>"sinc7_3":"fwp2_sincere_07"</t>
  </si>
  <si>
    <t>"intel7_3":"fwp2_intelligent_07"</t>
  </si>
  <si>
    <t>"fun7_3":"fwp2_fun_07"</t>
  </si>
  <si>
    <t>"amb7_3":"fwp2_ambitious_07"</t>
  </si>
  <si>
    <t>"shar7_3":"fwp2_shared_interests_07"</t>
  </si>
  <si>
    <t>"attr4_3":"fwp2_attractive_04"</t>
  </si>
  <si>
    <t>"sinc4_3":"fwp2_sincere_04"</t>
  </si>
  <si>
    <t>"intel4_3":"fwp2_intelligent_04"</t>
  </si>
  <si>
    <t>"fun4_3":"fwp2_fun_04"</t>
  </si>
  <si>
    <t>"amb4_3":"fwp2_ambitious_04"</t>
  </si>
  <si>
    <t>"shar4_3":"fwp2_shared_interests_04"</t>
  </si>
  <si>
    <t>"attr2_3":"fwp2_attractive_02"</t>
  </si>
  <si>
    <t>"sinc2_3":"fwp2_sincere_02"</t>
  </si>
  <si>
    <t>"intel2_3":"fwp2_intelligent_02"</t>
  </si>
  <si>
    <t>"fun2_3":"fwp2_fun_02"</t>
  </si>
  <si>
    <t>"amb2_3":"fwp2_ambitious_02"</t>
  </si>
  <si>
    <t>"shar2_3":"fwp2_shared_interests_02"</t>
  </si>
  <si>
    <t>"attr3_3":"fwp2_attractive_03"</t>
  </si>
  <si>
    <t>"sinc3_3":"fwp2_sincere_03"</t>
  </si>
  <si>
    <t>"intel3_3":"fwp2_intelligent_03"</t>
  </si>
  <si>
    <t>"fun3_3":"fwp2_fun_03"</t>
  </si>
  <si>
    <t>"amb3_3":"fwp2_ambitious_03"</t>
  </si>
  <si>
    <t>"attr5_3":"fwp2_attractive_05"</t>
  </si>
  <si>
    <t>"sinc5_3":"fwp2_sincere_05"</t>
  </si>
  <si>
    <t>"intel5_3":"fwp2_intelligent_05"</t>
  </si>
  <si>
    <t>"fun5_3":"fwp2_fun_05"</t>
  </si>
  <si>
    <t>"amb5_3":"fwp2_ambitious_05"</t>
  </si>
  <si>
    <t>,</t>
  </si>
  <si>
    <t>signup/Time1</t>
  </si>
  <si>
    <t>Scorecard</t>
  </si>
  <si>
    <t>followup/Time2</t>
  </si>
  <si>
    <t>fwp_t2_satisfaction</t>
  </si>
  <si>
    <t>fwp_t2_length</t>
  </si>
  <si>
    <t>fwp_t2_number_speed_dates</t>
  </si>
  <si>
    <t>fwp_t2_attractive_07</t>
  </si>
  <si>
    <t>fwp_t2_sincere_07</t>
  </si>
  <si>
    <t>init</t>
  </si>
  <si>
    <t>fwp_t2_intelligent_07</t>
  </si>
  <si>
    <t>fwp_t2_fun_07</t>
  </si>
  <si>
    <t>fwp_t2_ambitious_07</t>
  </si>
  <si>
    <t>fwp_t2_shared_interests_07</t>
  </si>
  <si>
    <t>fwp_t2_attractive_01</t>
  </si>
  <si>
    <t>fwp_t2_sincere_01</t>
  </si>
  <si>
    <t>fwp_t2_intelligen_01</t>
  </si>
  <si>
    <t>fwp_t2_fun_01</t>
  </si>
  <si>
    <t>fwp_t2_ambitious_01</t>
  </si>
  <si>
    <t>fwp_t2_shared_interests_01</t>
  </si>
  <si>
    <t>fwp_t2_attractive_04</t>
  </si>
  <si>
    <t>fwp_t2_sincere_04</t>
  </si>
  <si>
    <t>fwp_t2_intelligent_04</t>
  </si>
  <si>
    <t>fwp_t2_fun_04</t>
  </si>
  <si>
    <t>fwp_t2_ambitious_04</t>
  </si>
  <si>
    <t>fwp_t2_shared_interests_04</t>
  </si>
  <si>
    <t>fwp_t2_attractive_02</t>
  </si>
  <si>
    <t>fwp_t2_sincere_02</t>
  </si>
  <si>
    <t>fwp_t2_intelligent_02</t>
  </si>
  <si>
    <t>fwp_t2_fun_02</t>
  </si>
  <si>
    <t>fwp_t2_ambitious_02</t>
  </si>
  <si>
    <t>fwp_t2_shared_interests_02</t>
  </si>
  <si>
    <t>fwp_t2_attractive_03</t>
  </si>
  <si>
    <t>fwp_t2_sincere_03</t>
  </si>
  <si>
    <t>fwp_t2_intelligent_03</t>
  </si>
  <si>
    <t>fwp_t2_fun_03</t>
  </si>
  <si>
    <t>fwp_t2_ambitious_03</t>
  </si>
  <si>
    <t>fwp_t2_attractive_05</t>
  </si>
  <si>
    <t>fwp_t2_sincere_05</t>
  </si>
  <si>
    <t>fwp_t2_intelligent_05</t>
  </si>
  <si>
    <t>fwp_t2_fun_05</t>
  </si>
  <si>
    <t>fwp_t2_ambitious_05</t>
  </si>
  <si>
    <t>fwp2_t3_call_contacted</t>
  </si>
  <si>
    <t>fwp2_t3_call_received</t>
  </si>
  <si>
    <t>fwp2_t3_date</t>
  </si>
  <si>
    <t>fwp2_t3_number_speed_dates</t>
  </si>
  <si>
    <t>fwp2_t3_if_speed_dates</t>
  </si>
  <si>
    <t>fwp2_t3_attractive_01</t>
  </si>
  <si>
    <t>fwp2_t3_Sincere_01</t>
  </si>
  <si>
    <t>fwp2_t3_intelligent_01</t>
  </si>
  <si>
    <t>fwp2_t3_fun_01</t>
  </si>
  <si>
    <t>fwp2_t3_ambitious_01</t>
  </si>
  <si>
    <t>fwp2_t3_shared_interests_01</t>
  </si>
  <si>
    <t>fwp2_t3_attractive_07</t>
  </si>
  <si>
    <t>fwp2_t3_sincere_07</t>
  </si>
  <si>
    <t>fwp2_t3_intelligent_07</t>
  </si>
  <si>
    <t>fwp2_t3_fun_07</t>
  </si>
  <si>
    <t>fwp2_t3_ambitious_07</t>
  </si>
  <si>
    <t>fwp2_t3_shared_interests_07</t>
  </si>
  <si>
    <t>fwp2_t3_attractive_04</t>
  </si>
  <si>
    <t>fwp2_t3_sincere_04</t>
  </si>
  <si>
    <t>fwp2_t3_intelligent_04</t>
  </si>
  <si>
    <t>fwp2_t3_fun_04</t>
  </si>
  <si>
    <t>fwp2_t3_ambitious_04</t>
  </si>
  <si>
    <t>fwp2_t3_shared_interests_04</t>
  </si>
  <si>
    <t>fwp2_t3_attractive_02</t>
  </si>
  <si>
    <t>catégorie</t>
  </si>
  <si>
    <t>Axes analyse</t>
  </si>
  <si>
    <t>Analyse des différences entre genres</t>
  </si>
  <si>
    <t>Commentaires</t>
  </si>
  <si>
    <t>Visualisations</t>
  </si>
  <si>
    <t>Corrélations entre auto-évaluation et évaluation par autrui</t>
  </si>
  <si>
    <t>Impact des caractéristiques démographiques et académique</t>
  </si>
  <si>
    <t>Scatter plots : Pour visualiser les relations entre deux variables continues, comme l'âge vs score d'attractivité, ou l'auto-évaluation vs la note donnée par l'autre.
Bar charts : Pour comparer les moyennes des scores entre différentes catégories (genre, méthode d'évaluation, type de choix).
Line plots : Pour observer l'évolution de certains indicateurs (par exemple, taux de match ou satisfaction) au fil des waves, permettant de détecter des tendances temporelles ou méthodologiques.</t>
  </si>
  <si>
    <t>Description</t>
  </si>
  <si>
    <t>Filled out by subjects after each "date" during the event</t>
  </si>
  <si>
    <t>Survey is filled out the day after participating in the event. Subjects must have submitted this in order to be sent their matches.</t>
  </si>
  <si>
    <t>Subjects filled out 3-4 weeks after they had been sent their matches</t>
  </si>
  <si>
    <t>Index</t>
  </si>
  <si>
    <t>followup2/Time3</t>
  </si>
  <si>
    <r>
      <rPr>
        <b/>
        <sz val="11"/>
        <color theme="1"/>
        <rFont val="Aptos Narrow"/>
        <family val="2"/>
        <scheme val="minor"/>
      </rPr>
      <t>Age et succès des rencontres :</t>
    </r>
    <r>
      <rPr>
        <sz val="11"/>
        <color theme="1"/>
        <rFont val="Aptos Narrow"/>
        <family val="2"/>
        <scheme val="minor"/>
      </rPr>
      <t xml:space="preserve"> corrélation entre âge du participant (ou du partenaire) et le taux de match, ou   satisfaction exprimée après l'événement
</t>
    </r>
    <r>
      <rPr>
        <b/>
        <sz val="11"/>
        <color theme="1"/>
        <rFont val="Aptos Narrow"/>
        <family val="2"/>
        <scheme val="minor"/>
      </rPr>
      <t xml:space="preserve">Éducation et scores SAT : </t>
    </r>
    <r>
      <rPr>
        <sz val="11"/>
        <color theme="1"/>
        <rFont val="Aptos Narrow"/>
        <family val="2"/>
        <scheme val="minor"/>
      </rPr>
      <t xml:space="preserve">parcours académique (champ d'étude, score SAT, etc.) vs préférences ou la perception de l'attractivité.
</t>
    </r>
    <r>
      <rPr>
        <b/>
        <sz val="11"/>
        <color theme="1"/>
        <rFont val="Aptos Narrow"/>
        <family val="2"/>
        <scheme val="minor"/>
      </rPr>
      <t xml:space="preserve">Origine et valeurs culturelles : </t>
    </r>
    <r>
      <rPr>
        <sz val="11"/>
        <color theme="1"/>
        <rFont val="Aptos Narrow"/>
        <family val="2"/>
        <scheme val="minor"/>
      </rPr>
      <t xml:space="preserve"> race, zone géographique, revenus médians sur les préférences en matière de rencontres</t>
    </r>
  </si>
  <si>
    <r>
      <rPr>
        <b/>
        <sz val="11"/>
        <color theme="1"/>
        <rFont val="Aptos Narrow"/>
        <family val="2"/>
        <scheme val="minor"/>
      </rPr>
      <t>Comparaison des évaluations :</t>
    </r>
    <r>
      <rPr>
        <sz val="11"/>
        <color theme="1"/>
        <rFont val="Aptos Narrow"/>
        <family val="2"/>
        <scheme val="minor"/>
      </rPr>
      <t xml:space="preserve"> scores attribués par les hommes et les femmes + identification des différences et 'importance accordée aux attributs : attractivité, intelligence, ambition, ...
</t>
    </r>
    <r>
      <rPr>
        <b/>
        <sz val="11"/>
        <color theme="1"/>
        <rFont val="Aptos Narrow"/>
        <family val="2"/>
        <scheme val="minor"/>
      </rPr>
      <t xml:space="preserve">Taux de match : </t>
    </r>
    <r>
      <rPr>
        <sz val="11"/>
        <color theme="1"/>
        <rFont val="Aptos Narrow"/>
        <family val="2"/>
        <scheme val="minor"/>
      </rPr>
      <t>Comparer les taux de match vs non-match entre les genres + disparités dans les préférences ou stratégies de sélection</t>
    </r>
  </si>
  <si>
    <r>
      <rPr>
        <b/>
        <sz val="11"/>
        <color theme="1"/>
        <rFont val="Aptos Narrow"/>
        <family val="2"/>
        <scheme val="minor"/>
      </rPr>
      <t xml:space="preserve">Perception de soi vs perception des autres  : </t>
    </r>
    <r>
      <rPr>
        <sz val="11"/>
        <color theme="1"/>
        <rFont val="Aptos Narrow"/>
        <family val="2"/>
        <scheme val="minor"/>
      </rPr>
      <t xml:space="preserve">relation entre l'auto-évaluation (scores que les participants s'attribuent ) et les notes reçues de leurs partenaires </t>
    </r>
    <r>
      <rPr>
        <b/>
        <sz val="11"/>
        <rFont val="Aptos Narrow"/>
        <family val="2"/>
        <scheme val="minor"/>
      </rPr>
      <t>--&gt; Quelles données à sélectionner ?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>Impact sur les décisions :</t>
    </r>
    <r>
      <rPr>
        <sz val="11"/>
        <color theme="1"/>
        <rFont val="Aptos Narrow"/>
        <family val="2"/>
        <scheme val="minor"/>
      </rPr>
      <t xml:space="preserve"> haute auto-évaluation vs décisions de match plus fréquentes ou des attentes plus élevées ?</t>
    </r>
  </si>
  <si>
    <t xml:space="preserve">A conserver ? </t>
  </si>
  <si>
    <t>oui</t>
  </si>
  <si>
    <t>unique subject number, group(wave id gender)</t>
  </si>
  <si>
    <t>subject number within wave</t>
  </si>
  <si>
    <t>Female=0, Male=1</t>
  </si>
  <si>
    <t>subject number within gender, group(id gender)</t>
  </si>
  <si>
    <t>1=limited choice, 2=extensive choice</t>
  </si>
  <si>
    <t>number of people that met in wave</t>
  </si>
  <si>
    <t xml:space="preserve">station number where met partner </t>
  </si>
  <si>
    <t>station number where started</t>
  </si>
  <si>
    <t>the number of date that night when met partner</t>
  </si>
  <si>
    <t>partner’s id number the night of event</t>
  </si>
  <si>
    <t>partner’s iid number</t>
  </si>
  <si>
    <t>1=yes, 0=no</t>
  </si>
  <si>
    <t>correlation between participant’s and partner’s ratings of interests inTime 1</t>
  </si>
  <si>
    <t>participant and the partner were the same race. 1= yes, 0=no</t>
  </si>
  <si>
    <t>age of partner</t>
  </si>
  <si>
    <t>race of partner</t>
  </si>
  <si>
    <t>partner’s stated preference at Time 1 (attr1_1) for all 6 attributes</t>
  </si>
  <si>
    <t>decision of partner the night of event</t>
  </si>
  <si>
    <t>rating by partner the night of the event, for all 6 attributes</t>
  </si>
  <si>
    <t>field of study</t>
  </si>
  <si>
    <t xml:space="preserve">field coded </t>
  </si>
  <si>
    <t>school attended for undergraduate degree</t>
  </si>
  <si>
    <t>Median SAT score for the undergraduate institution where attended</t>
  </si>
  <si>
    <t>Tuition listed for each response to undergrad</t>
  </si>
  <si>
    <t>How important is it to you (on a scale of 1-10) that a person you date be of the same racial/ethnic background?</t>
  </si>
  <si>
    <t xml:space="preserve"> How important is it to you (on a scale of 1-10) that a person you date be of the same religious background?</t>
  </si>
  <si>
    <t xml:space="preserve">Where are you from originally </t>
  </si>
  <si>
    <t xml:space="preserve">What was the zip code of the area where you grew up? </t>
  </si>
  <si>
    <t xml:space="preserve">Median household income based on zipcode </t>
  </si>
  <si>
    <t>What is your primary goal in participating in this event</t>
  </si>
  <si>
    <t>In general, how frequently do you go on dates</t>
  </si>
  <si>
    <t>How often do you go out (not necessarily on dates)</t>
  </si>
  <si>
    <t>What is your intended career</t>
  </si>
  <si>
    <t xml:space="preserve">career coded </t>
  </si>
  <si>
    <t>How interested are you in the following activities, on a scale of 1-10</t>
  </si>
  <si>
    <t>Overall, on a scale of 1-10, how happy do you expect to be with the people you meet during the speed-dating event</t>
  </si>
  <si>
    <t xml:space="preserve">Out of the 20 people you will meet, how many do you expect will be interested in dating you?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</si>
</sst>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4" fillId="5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0B07C-D049-4067-8FD2-17B5794DA21E}">
  <sheetPr filterMode="1">
    <tabColor rgb="FFFFC000"/>
  </sheetPr>
  <dimension ref="A1:Q196"/>
  <sheetViews>
    <sheetView tabSelected="1" zoomScale="130" zoomScaleNormal="130" workbookViewId="0">
      <pane ySplit="1" topLeftCell="A2" activePane="bottomLeft" state="frozen"/>
      <selection pane="bottomLeft" activeCell="D99" sqref="D99:D120"/>
    </sheetView>
  </sheetViews>
  <sheetFormatPr baseColWidth="10" defaultRowHeight="14.5" x14ac:dyDescent="0.35"/>
  <cols>
    <col min="1" max="1" width="5.1796875" customWidth="1"/>
    <col min="2" max="2" width="6.26953125" customWidth="1"/>
    <col min="3" max="3" width="14.1796875" bestFit="1" customWidth="1"/>
    <col min="4" max="4" width="63.81640625" customWidth="1"/>
    <col min="5" max="5" width="17.7265625" bestFit="1" customWidth="1"/>
    <col min="6" max="6" width="17.7265625" hidden="1" customWidth="1"/>
    <col min="7" max="7" width="26.1796875" hidden="1" customWidth="1"/>
    <col min="8" max="8" width="38.7265625" hidden="1" customWidth="1"/>
    <col min="9" max="13" width="0" hidden="1" customWidth="1"/>
    <col min="14" max="14" width="27.81640625" hidden="1" customWidth="1"/>
    <col min="15" max="20" width="0" hidden="1" customWidth="1"/>
  </cols>
  <sheetData>
    <row r="1" spans="1:17" x14ac:dyDescent="0.35">
      <c r="A1" s="7" t="s">
        <v>1</v>
      </c>
      <c r="B1" s="7" t="s">
        <v>578</v>
      </c>
      <c r="C1" s="9" t="s">
        <v>566</v>
      </c>
      <c r="D1" s="9" t="s">
        <v>574</v>
      </c>
      <c r="E1" s="7" t="s">
        <v>221</v>
      </c>
      <c r="F1" s="10" t="s">
        <v>583</v>
      </c>
      <c r="G1" s="8" t="s">
        <v>314</v>
      </c>
      <c r="H1" s="8" t="s">
        <v>222</v>
      </c>
    </row>
    <row r="2" spans="1:17" hidden="1" x14ac:dyDescent="0.35">
      <c r="A2">
        <v>1</v>
      </c>
      <c r="B2">
        <v>0</v>
      </c>
      <c r="C2" t="s">
        <v>509</v>
      </c>
      <c r="D2" t="s">
        <v>585</v>
      </c>
      <c r="E2" t="s">
        <v>0</v>
      </c>
      <c r="F2" t="s">
        <v>584</v>
      </c>
      <c r="G2" t="s">
        <v>201</v>
      </c>
      <c r="H2" t="s">
        <v>318</v>
      </c>
      <c r="I2" s="1" t="s">
        <v>316</v>
      </c>
      <c r="J2" t="str">
        <f>E2</f>
        <v>iid</v>
      </c>
      <c r="K2" t="s">
        <v>316</v>
      </c>
      <c r="L2" t="s">
        <v>317</v>
      </c>
      <c r="M2" t="s">
        <v>316</v>
      </c>
      <c r="N2" t="str">
        <f>G2</f>
        <v>subject_unique_id</v>
      </c>
      <c r="O2" t="s">
        <v>316</v>
      </c>
      <c r="P2" t="s">
        <v>500</v>
      </c>
      <c r="Q2" t="str">
        <f>_xlfn.CONCAT(I2,J2,K2,L2,M2,N2,O2,P2)</f>
        <v>"iid":"subject_unique_id",</v>
      </c>
    </row>
    <row r="3" spans="1:17" hidden="1" x14ac:dyDescent="0.35">
      <c r="A3">
        <v>1</v>
      </c>
      <c r="B3">
        <v>1</v>
      </c>
      <c r="C3" t="s">
        <v>509</v>
      </c>
      <c r="D3" t="s">
        <v>586</v>
      </c>
      <c r="E3" t="s">
        <v>1</v>
      </c>
      <c r="F3" t="s">
        <v>584</v>
      </c>
      <c r="G3" t="s">
        <v>202</v>
      </c>
      <c r="H3" t="s">
        <v>319</v>
      </c>
      <c r="I3" s="1" t="s">
        <v>316</v>
      </c>
      <c r="J3" t="str">
        <f t="shared" ref="J3:J66" si="0">E3</f>
        <v>id</v>
      </c>
      <c r="K3" t="s">
        <v>316</v>
      </c>
      <c r="L3" t="s">
        <v>317</v>
      </c>
      <c r="M3" t="s">
        <v>316</v>
      </c>
      <c r="N3" t="str">
        <f t="shared" ref="N3:N66" si="1">G3</f>
        <v>subject_wave_id</v>
      </c>
      <c r="O3" t="s">
        <v>316</v>
      </c>
      <c r="P3" t="s">
        <v>500</v>
      </c>
      <c r="Q3" t="str">
        <f t="shared" ref="Q3:Q19" si="2">_xlfn.CONCAT(I3,J3,K3,L3,M3,N3,O3,P3)</f>
        <v>"id":"subject_wave_id",</v>
      </c>
    </row>
    <row r="4" spans="1:17" hidden="1" x14ac:dyDescent="0.35">
      <c r="A4">
        <v>1</v>
      </c>
      <c r="B4">
        <v>2</v>
      </c>
      <c r="C4" t="s">
        <v>509</v>
      </c>
      <c r="D4" t="s">
        <v>587</v>
      </c>
      <c r="E4" t="s">
        <v>2</v>
      </c>
      <c r="G4" t="s">
        <v>2</v>
      </c>
      <c r="H4" t="s">
        <v>320</v>
      </c>
      <c r="I4" s="1" t="s">
        <v>316</v>
      </c>
      <c r="J4" t="str">
        <f t="shared" si="0"/>
        <v>gender</v>
      </c>
      <c r="K4" t="s">
        <v>316</v>
      </c>
      <c r="L4" t="s">
        <v>317</v>
      </c>
      <c r="M4" t="s">
        <v>316</v>
      </c>
      <c r="N4" t="str">
        <f t="shared" si="1"/>
        <v>gender</v>
      </c>
      <c r="O4" t="s">
        <v>316</v>
      </c>
      <c r="P4" t="s">
        <v>500</v>
      </c>
      <c r="Q4" t="str">
        <f t="shared" si="2"/>
        <v>"gender":"gender",</v>
      </c>
    </row>
    <row r="5" spans="1:17" hidden="1" x14ac:dyDescent="0.35">
      <c r="A5">
        <v>1</v>
      </c>
      <c r="B5">
        <v>3</v>
      </c>
      <c r="C5" t="s">
        <v>509</v>
      </c>
      <c r="D5" t="s">
        <v>588</v>
      </c>
      <c r="E5" t="s">
        <v>3</v>
      </c>
      <c r="F5" t="s">
        <v>584</v>
      </c>
      <c r="G5" t="s">
        <v>195</v>
      </c>
      <c r="H5" t="s">
        <v>321</v>
      </c>
      <c r="I5" s="1" t="s">
        <v>316</v>
      </c>
      <c r="J5" t="str">
        <f t="shared" si="0"/>
        <v>idg</v>
      </c>
      <c r="K5" t="s">
        <v>316</v>
      </c>
      <c r="L5" t="s">
        <v>317</v>
      </c>
      <c r="M5" t="s">
        <v>316</v>
      </c>
      <c r="N5" t="str">
        <f t="shared" si="1"/>
        <v>gender_group</v>
      </c>
      <c r="O5" t="s">
        <v>316</v>
      </c>
      <c r="P5" t="s">
        <v>500</v>
      </c>
      <c r="Q5" t="str">
        <f t="shared" si="2"/>
        <v>"idg":"gender_group",</v>
      </c>
    </row>
    <row r="6" spans="1:17" hidden="1" x14ac:dyDescent="0.35">
      <c r="A6">
        <v>1</v>
      </c>
      <c r="B6">
        <v>4</v>
      </c>
      <c r="C6" t="s">
        <v>509</v>
      </c>
      <c r="D6" t="s">
        <v>589</v>
      </c>
      <c r="E6" t="s">
        <v>4</v>
      </c>
      <c r="G6" t="s">
        <v>196</v>
      </c>
      <c r="H6" t="s">
        <v>322</v>
      </c>
      <c r="I6" s="1" t="s">
        <v>316</v>
      </c>
      <c r="J6" t="str">
        <f t="shared" si="0"/>
        <v>condtn</v>
      </c>
      <c r="K6" t="s">
        <v>316</v>
      </c>
      <c r="L6" t="s">
        <v>317</v>
      </c>
      <c r="M6" t="s">
        <v>316</v>
      </c>
      <c r="N6" t="str">
        <f t="shared" si="1"/>
        <v>condition</v>
      </c>
      <c r="O6" t="s">
        <v>316</v>
      </c>
      <c r="P6" t="s">
        <v>500</v>
      </c>
      <c r="Q6" t="str">
        <f t="shared" si="2"/>
        <v>"condtn":"condition",</v>
      </c>
    </row>
    <row r="7" spans="1:17" hidden="1" x14ac:dyDescent="0.35">
      <c r="A7">
        <v>1</v>
      </c>
      <c r="B7">
        <v>5</v>
      </c>
      <c r="C7" t="s">
        <v>509</v>
      </c>
      <c r="E7" t="s">
        <v>5</v>
      </c>
      <c r="G7" t="s">
        <v>5</v>
      </c>
      <c r="H7" t="s">
        <v>323</v>
      </c>
      <c r="I7" s="1" t="s">
        <v>316</v>
      </c>
      <c r="J7" t="str">
        <f t="shared" si="0"/>
        <v>wave</v>
      </c>
      <c r="K7" t="s">
        <v>316</v>
      </c>
      <c r="L7" t="s">
        <v>317</v>
      </c>
      <c r="M7" t="s">
        <v>316</v>
      </c>
      <c r="N7" t="str">
        <f t="shared" si="1"/>
        <v>wave</v>
      </c>
      <c r="O7" t="s">
        <v>316</v>
      </c>
      <c r="P7" t="s">
        <v>500</v>
      </c>
      <c r="Q7" t="str">
        <f t="shared" si="2"/>
        <v>"wave":"wave",</v>
      </c>
    </row>
    <row r="8" spans="1:17" hidden="1" x14ac:dyDescent="0.35">
      <c r="A8">
        <v>1</v>
      </c>
      <c r="B8">
        <v>6</v>
      </c>
      <c r="C8" t="s">
        <v>509</v>
      </c>
      <c r="D8" t="s">
        <v>590</v>
      </c>
      <c r="E8" t="s">
        <v>6</v>
      </c>
      <c r="G8" t="s">
        <v>197</v>
      </c>
      <c r="H8" t="s">
        <v>324</v>
      </c>
      <c r="I8" s="1" t="s">
        <v>316</v>
      </c>
      <c r="J8" t="str">
        <f t="shared" si="0"/>
        <v>round</v>
      </c>
      <c r="K8" t="s">
        <v>316</v>
      </c>
      <c r="L8" t="s">
        <v>317</v>
      </c>
      <c r="M8" t="s">
        <v>316</v>
      </c>
      <c r="N8" t="str">
        <f t="shared" si="1"/>
        <v>nb_people_wave</v>
      </c>
      <c r="O8" t="s">
        <v>316</v>
      </c>
      <c r="P8" t="s">
        <v>500</v>
      </c>
      <c r="Q8" t="str">
        <f t="shared" si="2"/>
        <v>"round":"nb_people_wave",</v>
      </c>
    </row>
    <row r="9" spans="1:17" hidden="1" x14ac:dyDescent="0.35">
      <c r="A9">
        <v>1</v>
      </c>
      <c r="B9">
        <v>7</v>
      </c>
      <c r="C9" t="s">
        <v>509</v>
      </c>
      <c r="D9" t="s">
        <v>591</v>
      </c>
      <c r="E9" t="s">
        <v>7</v>
      </c>
      <c r="G9" t="s">
        <v>198</v>
      </c>
      <c r="H9" t="s">
        <v>325</v>
      </c>
      <c r="I9" s="1" t="s">
        <v>316</v>
      </c>
      <c r="J9" t="str">
        <f t="shared" si="0"/>
        <v>position</v>
      </c>
      <c r="K9" t="s">
        <v>316</v>
      </c>
      <c r="L9" t="s">
        <v>317</v>
      </c>
      <c r="M9" t="s">
        <v>316</v>
      </c>
      <c r="N9" t="str">
        <f t="shared" si="1"/>
        <v>station_num_partner</v>
      </c>
      <c r="O9" t="s">
        <v>316</v>
      </c>
      <c r="P9" t="s">
        <v>500</v>
      </c>
      <c r="Q9" t="str">
        <f t="shared" si="2"/>
        <v>"position":"station_num_partner",</v>
      </c>
    </row>
    <row r="10" spans="1:17" hidden="1" x14ac:dyDescent="0.35">
      <c r="A10">
        <v>1</v>
      </c>
      <c r="B10">
        <v>8</v>
      </c>
      <c r="C10" t="s">
        <v>509</v>
      </c>
      <c r="D10" t="s">
        <v>592</v>
      </c>
      <c r="E10" t="s">
        <v>8</v>
      </c>
      <c r="G10" t="s">
        <v>199</v>
      </c>
      <c r="H10" t="s">
        <v>326</v>
      </c>
      <c r="I10" s="1" t="s">
        <v>316</v>
      </c>
      <c r="J10" t="str">
        <f t="shared" si="0"/>
        <v>positin1</v>
      </c>
      <c r="K10" t="s">
        <v>316</v>
      </c>
      <c r="L10" t="s">
        <v>317</v>
      </c>
      <c r="M10" t="s">
        <v>316</v>
      </c>
      <c r="N10" t="str">
        <f t="shared" si="1"/>
        <v>station_num_start</v>
      </c>
      <c r="O10" t="s">
        <v>316</v>
      </c>
      <c r="P10" t="s">
        <v>500</v>
      </c>
      <c r="Q10" t="str">
        <f t="shared" si="2"/>
        <v>"positin1":"station_num_start",</v>
      </c>
    </row>
    <row r="11" spans="1:17" hidden="1" x14ac:dyDescent="0.35">
      <c r="A11">
        <v>1</v>
      </c>
      <c r="B11">
        <v>9</v>
      </c>
      <c r="C11" t="s">
        <v>509</v>
      </c>
      <c r="D11" t="s">
        <v>593</v>
      </c>
      <c r="E11" t="s">
        <v>9</v>
      </c>
      <c r="G11" t="s">
        <v>200</v>
      </c>
      <c r="H11" t="s">
        <v>327</v>
      </c>
      <c r="I11" s="1" t="s">
        <v>316</v>
      </c>
      <c r="J11" t="str">
        <f t="shared" si="0"/>
        <v>order</v>
      </c>
      <c r="K11" t="s">
        <v>316</v>
      </c>
      <c r="L11" t="s">
        <v>317</v>
      </c>
      <c r="M11" t="s">
        <v>316</v>
      </c>
      <c r="N11" t="str">
        <f t="shared" si="1"/>
        <v>number_of_date</v>
      </c>
      <c r="O11" t="s">
        <v>316</v>
      </c>
      <c r="P11" t="s">
        <v>500</v>
      </c>
      <c r="Q11" t="str">
        <f t="shared" si="2"/>
        <v>"order":"number_of_date",</v>
      </c>
    </row>
    <row r="12" spans="1:17" hidden="1" x14ac:dyDescent="0.35">
      <c r="A12">
        <v>1</v>
      </c>
      <c r="B12">
        <v>10</v>
      </c>
      <c r="C12" t="s">
        <v>509</v>
      </c>
      <c r="D12" t="s">
        <v>594</v>
      </c>
      <c r="E12" t="s">
        <v>10</v>
      </c>
      <c r="G12" t="s">
        <v>203</v>
      </c>
      <c r="H12" t="s">
        <v>328</v>
      </c>
      <c r="I12" s="1" t="s">
        <v>316</v>
      </c>
      <c r="J12" t="str">
        <f t="shared" si="0"/>
        <v>partner</v>
      </c>
      <c r="K12" t="s">
        <v>316</v>
      </c>
      <c r="L12" t="s">
        <v>317</v>
      </c>
      <c r="M12" t="s">
        <v>316</v>
      </c>
      <c r="N12" t="str">
        <f t="shared" si="1"/>
        <v>partner_wave_id</v>
      </c>
      <c r="O12" t="s">
        <v>316</v>
      </c>
      <c r="P12" t="s">
        <v>500</v>
      </c>
      <c r="Q12" t="str">
        <f t="shared" si="2"/>
        <v>"partner":"partner_wave_id",</v>
      </c>
    </row>
    <row r="13" spans="1:17" hidden="1" x14ac:dyDescent="0.35">
      <c r="A13">
        <v>1</v>
      </c>
      <c r="B13">
        <v>11</v>
      </c>
      <c r="C13" t="s">
        <v>509</v>
      </c>
      <c r="D13" t="s">
        <v>595</v>
      </c>
      <c r="E13" t="s">
        <v>11</v>
      </c>
      <c r="G13" t="s">
        <v>204</v>
      </c>
      <c r="H13" t="s">
        <v>329</v>
      </c>
      <c r="I13" s="1" t="s">
        <v>316</v>
      </c>
      <c r="J13" t="str">
        <f t="shared" si="0"/>
        <v>pid</v>
      </c>
      <c r="K13" t="s">
        <v>316</v>
      </c>
      <c r="L13" t="s">
        <v>317</v>
      </c>
      <c r="M13" t="s">
        <v>316</v>
      </c>
      <c r="N13" t="str">
        <f t="shared" si="1"/>
        <v>partner_unique_id</v>
      </c>
      <c r="O13" t="s">
        <v>316</v>
      </c>
      <c r="P13" t="s">
        <v>500</v>
      </c>
      <c r="Q13" t="str">
        <f t="shared" si="2"/>
        <v>"pid":"partner_unique_id",</v>
      </c>
    </row>
    <row r="14" spans="1:17" x14ac:dyDescent="0.35">
      <c r="A14">
        <v>1</v>
      </c>
      <c r="B14">
        <v>12</v>
      </c>
      <c r="C14" t="s">
        <v>509</v>
      </c>
      <c r="D14" t="s">
        <v>596</v>
      </c>
      <c r="E14" t="s">
        <v>12</v>
      </c>
      <c r="G14" t="s">
        <v>12</v>
      </c>
      <c r="H14" t="s">
        <v>330</v>
      </c>
      <c r="I14" s="1" t="s">
        <v>316</v>
      </c>
      <c r="J14" t="str">
        <f t="shared" si="0"/>
        <v>match</v>
      </c>
      <c r="K14" t="s">
        <v>316</v>
      </c>
      <c r="L14" t="s">
        <v>317</v>
      </c>
      <c r="M14" t="s">
        <v>316</v>
      </c>
      <c r="N14" t="str">
        <f t="shared" si="1"/>
        <v>match</v>
      </c>
      <c r="O14" t="s">
        <v>316</v>
      </c>
      <c r="P14" t="s">
        <v>500</v>
      </c>
      <c r="Q14" t="str">
        <f t="shared" si="2"/>
        <v>"match":"match",</v>
      </c>
    </row>
    <row r="15" spans="1:17" hidden="1" x14ac:dyDescent="0.35">
      <c r="A15">
        <v>1</v>
      </c>
      <c r="B15">
        <v>13</v>
      </c>
      <c r="C15" t="s">
        <v>509</v>
      </c>
      <c r="D15" t="s">
        <v>597</v>
      </c>
      <c r="E15" t="s">
        <v>13</v>
      </c>
      <c r="G15" t="s">
        <v>205</v>
      </c>
      <c r="H15" t="s">
        <v>331</v>
      </c>
      <c r="I15" s="1" t="s">
        <v>316</v>
      </c>
      <c r="J15" t="str">
        <f t="shared" si="0"/>
        <v>int_corr</v>
      </c>
      <c r="K15" t="s">
        <v>316</v>
      </c>
      <c r="L15" t="s">
        <v>317</v>
      </c>
      <c r="M15" t="s">
        <v>316</v>
      </c>
      <c r="N15" t="str">
        <f t="shared" si="1"/>
        <v>interest_correlation</v>
      </c>
      <c r="O15" t="s">
        <v>316</v>
      </c>
      <c r="P15" t="s">
        <v>500</v>
      </c>
      <c r="Q15" t="str">
        <f t="shared" si="2"/>
        <v>"int_corr":"interest_correlation",</v>
      </c>
    </row>
    <row r="16" spans="1:17" hidden="1" x14ac:dyDescent="0.35">
      <c r="A16">
        <v>1</v>
      </c>
      <c r="B16">
        <v>14</v>
      </c>
      <c r="C16" t="s">
        <v>509</v>
      </c>
      <c r="D16" t="s">
        <v>598</v>
      </c>
      <c r="E16" t="s">
        <v>14</v>
      </c>
      <c r="G16" t="s">
        <v>206</v>
      </c>
      <c r="H16" t="s">
        <v>332</v>
      </c>
      <c r="I16" s="1" t="s">
        <v>316</v>
      </c>
      <c r="J16" t="str">
        <f t="shared" si="0"/>
        <v>samerace</v>
      </c>
      <c r="K16" t="s">
        <v>316</v>
      </c>
      <c r="L16" t="s">
        <v>317</v>
      </c>
      <c r="M16" t="s">
        <v>316</v>
      </c>
      <c r="N16" t="str">
        <f t="shared" si="1"/>
        <v>same_race</v>
      </c>
      <c r="O16" t="s">
        <v>316</v>
      </c>
      <c r="P16" t="s">
        <v>500</v>
      </c>
      <c r="Q16" t="str">
        <f t="shared" si="2"/>
        <v>"samerace":"same_race",</v>
      </c>
    </row>
    <row r="17" spans="1:17" hidden="1" x14ac:dyDescent="0.35">
      <c r="A17">
        <v>1</v>
      </c>
      <c r="B17">
        <v>15</v>
      </c>
      <c r="C17" t="s">
        <v>509</v>
      </c>
      <c r="D17" t="s">
        <v>599</v>
      </c>
      <c r="E17" t="s">
        <v>15</v>
      </c>
      <c r="G17" t="s">
        <v>207</v>
      </c>
      <c r="H17" t="s">
        <v>333</v>
      </c>
      <c r="I17" s="1" t="s">
        <v>316</v>
      </c>
      <c r="J17" t="str">
        <f t="shared" si="0"/>
        <v>age_o</v>
      </c>
      <c r="K17" t="s">
        <v>316</v>
      </c>
      <c r="L17" t="s">
        <v>317</v>
      </c>
      <c r="M17" t="s">
        <v>316</v>
      </c>
      <c r="N17" t="str">
        <f t="shared" si="1"/>
        <v>partner_age</v>
      </c>
      <c r="O17" t="s">
        <v>316</v>
      </c>
      <c r="P17" t="s">
        <v>500</v>
      </c>
      <c r="Q17" t="str">
        <f t="shared" si="2"/>
        <v>"age_o":"partner_age",</v>
      </c>
    </row>
    <row r="18" spans="1:17" hidden="1" x14ac:dyDescent="0.35">
      <c r="A18">
        <v>1</v>
      </c>
      <c r="B18">
        <v>16</v>
      </c>
      <c r="C18" t="s">
        <v>509</v>
      </c>
      <c r="D18" t="s">
        <v>600</v>
      </c>
      <c r="E18" t="s">
        <v>16</v>
      </c>
      <c r="G18" t="s">
        <v>208</v>
      </c>
      <c r="H18" t="s">
        <v>334</v>
      </c>
      <c r="I18" s="1" t="s">
        <v>316</v>
      </c>
      <c r="J18" t="str">
        <f t="shared" si="0"/>
        <v>race_o</v>
      </c>
      <c r="K18" t="s">
        <v>316</v>
      </c>
      <c r="L18" t="s">
        <v>317</v>
      </c>
      <c r="M18" t="s">
        <v>316</v>
      </c>
      <c r="N18" t="str">
        <f t="shared" si="1"/>
        <v>partner_race</v>
      </c>
      <c r="O18" t="s">
        <v>316</v>
      </c>
      <c r="P18" t="s">
        <v>500</v>
      </c>
      <c r="Q18" t="str">
        <f t="shared" si="2"/>
        <v>"race_o":"partner_race",</v>
      </c>
    </row>
    <row r="19" spans="1:17" hidden="1" x14ac:dyDescent="0.35">
      <c r="A19">
        <v>1</v>
      </c>
      <c r="B19">
        <v>17</v>
      </c>
      <c r="C19" t="s">
        <v>509</v>
      </c>
      <c r="D19" t="s">
        <v>601</v>
      </c>
      <c r="E19" t="s">
        <v>17</v>
      </c>
      <c r="G19" t="s">
        <v>235</v>
      </c>
      <c r="H19" t="s">
        <v>335</v>
      </c>
      <c r="I19" s="1" t="s">
        <v>316</v>
      </c>
      <c r="J19" t="str">
        <f t="shared" si="0"/>
        <v>pf_o_att</v>
      </c>
      <c r="K19" t="s">
        <v>316</v>
      </c>
      <c r="L19" t="s">
        <v>317</v>
      </c>
      <c r="M19" t="s">
        <v>316</v>
      </c>
      <c r="N19" t="str">
        <f t="shared" si="1"/>
        <v>partner_preference</v>
      </c>
      <c r="O19" t="s">
        <v>316</v>
      </c>
      <c r="P19" t="s">
        <v>500</v>
      </c>
      <c r="Q19" t="str">
        <f t="shared" si="2"/>
        <v>"pf_o_att":"partner_preference",</v>
      </c>
    </row>
    <row r="20" spans="1:17" hidden="1" x14ac:dyDescent="0.35">
      <c r="A20">
        <v>1</v>
      </c>
      <c r="B20">
        <v>18</v>
      </c>
      <c r="C20" t="s">
        <v>509</v>
      </c>
      <c r="E20" t="s">
        <v>18</v>
      </c>
      <c r="H20" t="s">
        <v>315</v>
      </c>
      <c r="I20" s="1"/>
      <c r="Q20" t="str">
        <f t="shared" ref="Q20:Q34" si="3">_xlfn.CONCAT(I20,J20,K20,L20,M20,N20,O20)</f>
        <v/>
      </c>
    </row>
    <row r="21" spans="1:17" hidden="1" x14ac:dyDescent="0.35">
      <c r="A21">
        <v>1</v>
      </c>
      <c r="B21">
        <v>19</v>
      </c>
      <c r="C21" t="s">
        <v>509</v>
      </c>
      <c r="E21" t="s">
        <v>19</v>
      </c>
      <c r="H21" t="s">
        <v>315</v>
      </c>
      <c r="I21" s="1"/>
      <c r="Q21" t="str">
        <f t="shared" si="3"/>
        <v/>
      </c>
    </row>
    <row r="22" spans="1:17" hidden="1" x14ac:dyDescent="0.35">
      <c r="A22">
        <v>1</v>
      </c>
      <c r="B22">
        <v>20</v>
      </c>
      <c r="C22" t="s">
        <v>509</v>
      </c>
      <c r="E22" t="s">
        <v>20</v>
      </c>
      <c r="H22" t="s">
        <v>315</v>
      </c>
      <c r="I22" s="1"/>
      <c r="Q22" t="str">
        <f t="shared" si="3"/>
        <v/>
      </c>
    </row>
    <row r="23" spans="1:17" hidden="1" x14ac:dyDescent="0.35">
      <c r="A23">
        <v>1</v>
      </c>
      <c r="B23">
        <v>21</v>
      </c>
      <c r="C23" t="s">
        <v>509</v>
      </c>
      <c r="E23" t="s">
        <v>21</v>
      </c>
      <c r="H23" t="s">
        <v>315</v>
      </c>
      <c r="I23" s="1"/>
      <c r="Q23" t="str">
        <f t="shared" si="3"/>
        <v/>
      </c>
    </row>
    <row r="24" spans="1:17" hidden="1" x14ac:dyDescent="0.35">
      <c r="A24">
        <v>1</v>
      </c>
      <c r="B24">
        <v>22</v>
      </c>
      <c r="C24" t="s">
        <v>509</v>
      </c>
      <c r="E24" t="s">
        <v>22</v>
      </c>
      <c r="H24" t="s">
        <v>315</v>
      </c>
      <c r="I24" s="1"/>
      <c r="Q24" t="str">
        <f t="shared" si="3"/>
        <v/>
      </c>
    </row>
    <row r="25" spans="1:17" hidden="1" x14ac:dyDescent="0.35">
      <c r="A25">
        <v>1</v>
      </c>
      <c r="B25">
        <v>23</v>
      </c>
      <c r="C25" t="s">
        <v>509</v>
      </c>
      <c r="D25" t="s">
        <v>602</v>
      </c>
      <c r="E25" t="s">
        <v>23</v>
      </c>
      <c r="G25" t="s">
        <v>209</v>
      </c>
      <c r="H25" t="s">
        <v>336</v>
      </c>
      <c r="I25" s="1" t="s">
        <v>316</v>
      </c>
      <c r="J25" t="str">
        <f t="shared" si="0"/>
        <v>dec_o</v>
      </c>
      <c r="K25" t="s">
        <v>316</v>
      </c>
      <c r="L25" t="s">
        <v>317</v>
      </c>
      <c r="M25" t="s">
        <v>316</v>
      </c>
      <c r="N25" t="str">
        <f t="shared" si="1"/>
        <v>decision_partner</v>
      </c>
      <c r="O25" t="s">
        <v>316</v>
      </c>
      <c r="P25" t="s">
        <v>500</v>
      </c>
      <c r="Q25" t="str">
        <f t="shared" ref="Q25:Q26" si="4">_xlfn.CONCAT(I25,J25,K25,L25,M25,N25,O25,P25)</f>
        <v>"dec_o":"decision_partner",</v>
      </c>
    </row>
    <row r="26" spans="1:17" hidden="1" x14ac:dyDescent="0.35">
      <c r="A26">
        <v>1</v>
      </c>
      <c r="B26">
        <v>24</v>
      </c>
      <c r="C26" t="s">
        <v>509</v>
      </c>
      <c r="D26" t="s">
        <v>603</v>
      </c>
      <c r="E26" t="s">
        <v>24</v>
      </c>
      <c r="G26" t="s">
        <v>210</v>
      </c>
      <c r="H26" t="s">
        <v>337</v>
      </c>
      <c r="I26" s="1" t="s">
        <v>316</v>
      </c>
      <c r="J26" t="str">
        <f t="shared" si="0"/>
        <v>attr_o</v>
      </c>
      <c r="K26" t="s">
        <v>316</v>
      </c>
      <c r="L26" t="s">
        <v>317</v>
      </c>
      <c r="M26" t="s">
        <v>316</v>
      </c>
      <c r="N26" t="str">
        <f t="shared" si="1"/>
        <v>rating_by_partner</v>
      </c>
      <c r="O26" t="s">
        <v>316</v>
      </c>
      <c r="P26" t="s">
        <v>500</v>
      </c>
      <c r="Q26" t="str">
        <f t="shared" si="4"/>
        <v>"attr_o":"rating_by_partner",</v>
      </c>
    </row>
    <row r="27" spans="1:17" hidden="1" x14ac:dyDescent="0.35">
      <c r="A27">
        <v>1</v>
      </c>
      <c r="B27">
        <v>25</v>
      </c>
      <c r="C27" t="s">
        <v>509</v>
      </c>
      <c r="E27" t="s">
        <v>25</v>
      </c>
      <c r="H27" t="s">
        <v>315</v>
      </c>
      <c r="I27" s="1"/>
      <c r="Q27" t="str">
        <f t="shared" si="3"/>
        <v/>
      </c>
    </row>
    <row r="28" spans="1:17" hidden="1" x14ac:dyDescent="0.35">
      <c r="A28">
        <v>1</v>
      </c>
      <c r="B28">
        <v>26</v>
      </c>
      <c r="C28" t="s">
        <v>509</v>
      </c>
      <c r="E28" t="s">
        <v>26</v>
      </c>
      <c r="H28" t="s">
        <v>315</v>
      </c>
      <c r="I28" s="1"/>
      <c r="Q28" t="str">
        <f t="shared" si="3"/>
        <v/>
      </c>
    </row>
    <row r="29" spans="1:17" hidden="1" x14ac:dyDescent="0.35">
      <c r="A29">
        <v>1</v>
      </c>
      <c r="B29">
        <v>27</v>
      </c>
      <c r="C29" t="s">
        <v>509</v>
      </c>
      <c r="E29" t="s">
        <v>27</v>
      </c>
      <c r="H29" t="s">
        <v>315</v>
      </c>
      <c r="I29" s="1"/>
      <c r="Q29" t="str">
        <f t="shared" si="3"/>
        <v/>
      </c>
    </row>
    <row r="30" spans="1:17" hidden="1" x14ac:dyDescent="0.35">
      <c r="A30">
        <v>1</v>
      </c>
      <c r="B30">
        <v>28</v>
      </c>
      <c r="C30" t="s">
        <v>509</v>
      </c>
      <c r="E30" t="s">
        <v>28</v>
      </c>
      <c r="H30" t="s">
        <v>315</v>
      </c>
      <c r="I30" s="1"/>
      <c r="Q30" t="str">
        <f t="shared" si="3"/>
        <v/>
      </c>
    </row>
    <row r="31" spans="1:17" hidden="1" x14ac:dyDescent="0.35">
      <c r="A31">
        <v>1</v>
      </c>
      <c r="B31">
        <v>29</v>
      </c>
      <c r="C31" t="s">
        <v>509</v>
      </c>
      <c r="E31" t="s">
        <v>29</v>
      </c>
      <c r="H31" t="s">
        <v>315</v>
      </c>
      <c r="I31" s="1"/>
      <c r="Q31" t="str">
        <f t="shared" si="3"/>
        <v/>
      </c>
    </row>
    <row r="32" spans="1:17" hidden="1" x14ac:dyDescent="0.35">
      <c r="A32">
        <v>1</v>
      </c>
      <c r="B32">
        <v>30</v>
      </c>
      <c r="C32" t="s">
        <v>509</v>
      </c>
      <c r="E32" t="s">
        <v>30</v>
      </c>
      <c r="H32" t="s">
        <v>315</v>
      </c>
      <c r="I32" s="1"/>
      <c r="Q32" t="str">
        <f t="shared" si="3"/>
        <v/>
      </c>
    </row>
    <row r="33" spans="1:17" hidden="1" x14ac:dyDescent="0.35">
      <c r="A33">
        <v>1</v>
      </c>
      <c r="B33">
        <v>31</v>
      </c>
      <c r="C33" t="s">
        <v>509</v>
      </c>
      <c r="E33" t="s">
        <v>31</v>
      </c>
      <c r="H33" t="s">
        <v>315</v>
      </c>
      <c r="I33" s="1"/>
      <c r="Q33" t="str">
        <f t="shared" si="3"/>
        <v/>
      </c>
    </row>
    <row r="34" spans="1:17" hidden="1" x14ac:dyDescent="0.35">
      <c r="A34">
        <v>1</v>
      </c>
      <c r="B34">
        <v>32</v>
      </c>
      <c r="C34" t="s">
        <v>509</v>
      </c>
      <c r="E34" t="s">
        <v>32</v>
      </c>
      <c r="H34" t="s">
        <v>315</v>
      </c>
      <c r="I34" s="1"/>
      <c r="Q34" t="str">
        <f t="shared" si="3"/>
        <v/>
      </c>
    </row>
    <row r="35" spans="1:17" ht="14.5" hidden="1" customHeight="1" x14ac:dyDescent="0.35">
      <c r="A35">
        <v>2</v>
      </c>
      <c r="B35">
        <v>33</v>
      </c>
      <c r="C35" t="s">
        <v>501</v>
      </c>
      <c r="E35" t="s">
        <v>33</v>
      </c>
      <c r="G35" t="s">
        <v>251</v>
      </c>
      <c r="H35" t="s">
        <v>338</v>
      </c>
      <c r="I35" s="1" t="s">
        <v>316</v>
      </c>
      <c r="J35" t="str">
        <f t="shared" si="0"/>
        <v>age</v>
      </c>
      <c r="K35" t="s">
        <v>316</v>
      </c>
      <c r="L35" t="s">
        <v>317</v>
      </c>
      <c r="M35" t="s">
        <v>316</v>
      </c>
      <c r="N35" t="str">
        <f t="shared" si="1"/>
        <v>sgup_age</v>
      </c>
      <c r="O35" t="s">
        <v>316</v>
      </c>
      <c r="P35" t="s">
        <v>500</v>
      </c>
      <c r="Q35" t="str">
        <f t="shared" ref="Q35:Q98" si="5">_xlfn.CONCAT(I35,J35,K35,L35,M35,N35,O35,P35)</f>
        <v>"age":"sgup_age",</v>
      </c>
    </row>
    <row r="36" spans="1:17" hidden="1" x14ac:dyDescent="0.35">
      <c r="A36">
        <v>2</v>
      </c>
      <c r="B36">
        <v>34</v>
      </c>
      <c r="C36" t="s">
        <v>501</v>
      </c>
      <c r="D36" s="6" t="s">
        <v>604</v>
      </c>
      <c r="E36" t="s">
        <v>34</v>
      </c>
      <c r="G36" t="s">
        <v>252</v>
      </c>
      <c r="H36" t="s">
        <v>339</v>
      </c>
      <c r="I36" s="1" t="s">
        <v>316</v>
      </c>
      <c r="J36" t="str">
        <f t="shared" si="0"/>
        <v>field</v>
      </c>
      <c r="K36" t="s">
        <v>316</v>
      </c>
      <c r="L36" t="s">
        <v>317</v>
      </c>
      <c r="M36" t="s">
        <v>316</v>
      </c>
      <c r="N36" t="str">
        <f t="shared" si="1"/>
        <v>sgup_field_study</v>
      </c>
      <c r="O36" t="s">
        <v>316</v>
      </c>
      <c r="P36" t="s">
        <v>500</v>
      </c>
      <c r="Q36" t="str">
        <f t="shared" si="5"/>
        <v>"field":"sgup_field_study",</v>
      </c>
    </row>
    <row r="37" spans="1:17" hidden="1" x14ac:dyDescent="0.35">
      <c r="A37">
        <v>2</v>
      </c>
      <c r="B37">
        <v>35</v>
      </c>
      <c r="C37" t="s">
        <v>501</v>
      </c>
      <c r="D37" s="6" t="s">
        <v>605</v>
      </c>
      <c r="E37" t="s">
        <v>35</v>
      </c>
      <c r="G37" t="s">
        <v>253</v>
      </c>
      <c r="H37" t="s">
        <v>340</v>
      </c>
      <c r="I37" s="1" t="s">
        <v>316</v>
      </c>
      <c r="J37" t="str">
        <f t="shared" si="0"/>
        <v>field_cd</v>
      </c>
      <c r="K37" t="s">
        <v>316</v>
      </c>
      <c r="L37" t="s">
        <v>317</v>
      </c>
      <c r="M37" t="s">
        <v>316</v>
      </c>
      <c r="N37" t="str">
        <f t="shared" si="1"/>
        <v>sgup_field_code</v>
      </c>
      <c r="O37" t="s">
        <v>316</v>
      </c>
      <c r="P37" t="s">
        <v>500</v>
      </c>
      <c r="Q37" t="str">
        <f t="shared" si="5"/>
        <v>"field_cd":"sgup_field_code",</v>
      </c>
    </row>
    <row r="38" spans="1:17" hidden="1" x14ac:dyDescent="0.35">
      <c r="A38">
        <v>2</v>
      </c>
      <c r="B38">
        <v>36</v>
      </c>
      <c r="C38" t="s">
        <v>501</v>
      </c>
      <c r="D38" s="6" t="s">
        <v>606</v>
      </c>
      <c r="E38" t="s">
        <v>36</v>
      </c>
      <c r="G38" t="s">
        <v>254</v>
      </c>
      <c r="H38" t="s">
        <v>341</v>
      </c>
      <c r="I38" s="1" t="s">
        <v>316</v>
      </c>
      <c r="J38" t="str">
        <f t="shared" si="0"/>
        <v>undergra</v>
      </c>
      <c r="K38" t="s">
        <v>316</v>
      </c>
      <c r="L38" t="s">
        <v>317</v>
      </c>
      <c r="M38" t="s">
        <v>316</v>
      </c>
      <c r="N38" t="str">
        <f t="shared" si="1"/>
        <v>sgup_school_undergraduate</v>
      </c>
      <c r="O38" t="s">
        <v>316</v>
      </c>
      <c r="P38" t="s">
        <v>500</v>
      </c>
      <c r="Q38" t="str">
        <f t="shared" si="5"/>
        <v>"undergra":"sgup_school_undergraduate",</v>
      </c>
    </row>
    <row r="39" spans="1:17" hidden="1" x14ac:dyDescent="0.35">
      <c r="A39">
        <v>2</v>
      </c>
      <c r="B39">
        <v>37</v>
      </c>
      <c r="C39" t="s">
        <v>501</v>
      </c>
      <c r="D39" s="6" t="s">
        <v>607</v>
      </c>
      <c r="E39" t="s">
        <v>37</v>
      </c>
      <c r="G39" t="s">
        <v>255</v>
      </c>
      <c r="H39" t="s">
        <v>342</v>
      </c>
      <c r="I39" s="1" t="s">
        <v>316</v>
      </c>
      <c r="J39" t="str">
        <f t="shared" si="0"/>
        <v>mn_sat</v>
      </c>
      <c r="K39" t="s">
        <v>316</v>
      </c>
      <c r="L39" t="s">
        <v>317</v>
      </c>
      <c r="M39" t="s">
        <v>316</v>
      </c>
      <c r="N39" t="str">
        <f t="shared" si="1"/>
        <v>sgup_Median_sat</v>
      </c>
      <c r="O39" t="s">
        <v>316</v>
      </c>
      <c r="P39" t="s">
        <v>500</v>
      </c>
      <c r="Q39" t="str">
        <f t="shared" si="5"/>
        <v>"mn_sat":"sgup_Median_sat",</v>
      </c>
    </row>
    <row r="40" spans="1:17" hidden="1" x14ac:dyDescent="0.35">
      <c r="A40">
        <v>2</v>
      </c>
      <c r="B40">
        <v>38</v>
      </c>
      <c r="C40" t="s">
        <v>501</v>
      </c>
      <c r="D40" s="6" t="s">
        <v>608</v>
      </c>
      <c r="E40" t="s">
        <v>38</v>
      </c>
      <c r="G40" t="s">
        <v>256</v>
      </c>
      <c r="H40" t="s">
        <v>343</v>
      </c>
      <c r="I40" s="1" t="s">
        <v>316</v>
      </c>
      <c r="J40" t="str">
        <f t="shared" si="0"/>
        <v>tuition</v>
      </c>
      <c r="K40" t="s">
        <v>316</v>
      </c>
      <c r="L40" t="s">
        <v>317</v>
      </c>
      <c r="M40" t="s">
        <v>316</v>
      </c>
      <c r="N40" t="str">
        <f t="shared" si="1"/>
        <v>sgup_tuition_undergraduate</v>
      </c>
      <c r="O40" t="s">
        <v>316</v>
      </c>
      <c r="P40" t="s">
        <v>500</v>
      </c>
      <c r="Q40" t="str">
        <f t="shared" si="5"/>
        <v>"tuition":"sgup_tuition_undergraduate",</v>
      </c>
    </row>
    <row r="41" spans="1:17" hidden="1" x14ac:dyDescent="0.35">
      <c r="A41">
        <v>2</v>
      </c>
      <c r="B41">
        <v>39</v>
      </c>
      <c r="C41" t="s">
        <v>501</v>
      </c>
      <c r="D41" s="6"/>
      <c r="E41" t="s">
        <v>39</v>
      </c>
      <c r="G41" t="s">
        <v>257</v>
      </c>
      <c r="H41" t="s">
        <v>344</v>
      </c>
      <c r="I41" s="1" t="s">
        <v>316</v>
      </c>
      <c r="J41" t="str">
        <f t="shared" si="0"/>
        <v>race</v>
      </c>
      <c r="K41" t="s">
        <v>316</v>
      </c>
      <c r="L41" t="s">
        <v>317</v>
      </c>
      <c r="M41" t="s">
        <v>316</v>
      </c>
      <c r="N41" t="str">
        <f t="shared" si="1"/>
        <v>sgup_race</v>
      </c>
      <c r="O41" t="s">
        <v>316</v>
      </c>
      <c r="P41" t="s">
        <v>500</v>
      </c>
      <c r="Q41" t="str">
        <f t="shared" si="5"/>
        <v>"race":"sgup_race",</v>
      </c>
    </row>
    <row r="42" spans="1:17" ht="29" hidden="1" x14ac:dyDescent="0.35">
      <c r="A42">
        <v>2</v>
      </c>
      <c r="B42">
        <v>40</v>
      </c>
      <c r="C42" t="s">
        <v>501</v>
      </c>
      <c r="D42" s="6" t="s">
        <v>609</v>
      </c>
      <c r="E42" t="s">
        <v>40</v>
      </c>
      <c r="G42" t="s">
        <v>258</v>
      </c>
      <c r="H42" t="s">
        <v>345</v>
      </c>
      <c r="I42" s="1" t="s">
        <v>316</v>
      </c>
      <c r="J42" t="str">
        <f t="shared" si="0"/>
        <v>imprace</v>
      </c>
      <c r="K42" t="s">
        <v>316</v>
      </c>
      <c r="L42" t="s">
        <v>317</v>
      </c>
      <c r="M42" t="s">
        <v>316</v>
      </c>
      <c r="N42" t="str">
        <f t="shared" si="1"/>
        <v>sgup_importance_race</v>
      </c>
      <c r="O42" t="s">
        <v>316</v>
      </c>
      <c r="P42" t="s">
        <v>500</v>
      </c>
      <c r="Q42" t="str">
        <f t="shared" si="5"/>
        <v>"imprace":"sgup_importance_race",</v>
      </c>
    </row>
    <row r="43" spans="1:17" ht="29" hidden="1" x14ac:dyDescent="0.35">
      <c r="A43">
        <v>2</v>
      </c>
      <c r="B43">
        <v>41</v>
      </c>
      <c r="C43" t="s">
        <v>501</v>
      </c>
      <c r="D43" s="6" t="s">
        <v>610</v>
      </c>
      <c r="E43" t="s">
        <v>41</v>
      </c>
      <c r="G43" t="s">
        <v>259</v>
      </c>
      <c r="H43" t="s">
        <v>346</v>
      </c>
      <c r="I43" s="1" t="s">
        <v>316</v>
      </c>
      <c r="J43" t="str">
        <f t="shared" si="0"/>
        <v>imprelig</v>
      </c>
      <c r="K43" t="s">
        <v>316</v>
      </c>
      <c r="L43" t="s">
        <v>317</v>
      </c>
      <c r="M43" t="s">
        <v>316</v>
      </c>
      <c r="N43" t="str">
        <f t="shared" si="1"/>
        <v>sgup_importance_religion</v>
      </c>
      <c r="O43" t="s">
        <v>316</v>
      </c>
      <c r="P43" t="s">
        <v>500</v>
      </c>
      <c r="Q43" t="str">
        <f t="shared" si="5"/>
        <v>"imprelig":"sgup_importance_religion",</v>
      </c>
    </row>
    <row r="44" spans="1:17" hidden="1" x14ac:dyDescent="0.35">
      <c r="A44">
        <v>2</v>
      </c>
      <c r="B44">
        <v>42</v>
      </c>
      <c r="C44" t="s">
        <v>501</v>
      </c>
      <c r="D44" s="6" t="s">
        <v>611</v>
      </c>
      <c r="E44" t="s">
        <v>42</v>
      </c>
      <c r="G44" t="s">
        <v>260</v>
      </c>
      <c r="H44" t="s">
        <v>347</v>
      </c>
      <c r="I44" s="1" t="s">
        <v>316</v>
      </c>
      <c r="J44" t="str">
        <f t="shared" si="0"/>
        <v>from</v>
      </c>
      <c r="K44" t="s">
        <v>316</v>
      </c>
      <c r="L44" t="s">
        <v>317</v>
      </c>
      <c r="M44" t="s">
        <v>316</v>
      </c>
      <c r="N44" t="str">
        <f t="shared" si="1"/>
        <v>sgup_geographic_origin</v>
      </c>
      <c r="O44" t="s">
        <v>316</v>
      </c>
      <c r="P44" t="s">
        <v>500</v>
      </c>
      <c r="Q44" t="str">
        <f t="shared" si="5"/>
        <v>"from":"sgup_geographic_origin",</v>
      </c>
    </row>
    <row r="45" spans="1:17" hidden="1" x14ac:dyDescent="0.35">
      <c r="A45">
        <v>2</v>
      </c>
      <c r="B45">
        <v>43</v>
      </c>
      <c r="C45" t="s">
        <v>501</v>
      </c>
      <c r="D45" s="6" t="s">
        <v>612</v>
      </c>
      <c r="E45" t="s">
        <v>43</v>
      </c>
      <c r="G45" t="s">
        <v>261</v>
      </c>
      <c r="H45" t="s">
        <v>348</v>
      </c>
      <c r="I45" s="1" t="s">
        <v>316</v>
      </c>
      <c r="J45" t="str">
        <f t="shared" si="0"/>
        <v>zipcode</v>
      </c>
      <c r="K45" t="s">
        <v>316</v>
      </c>
      <c r="L45" t="s">
        <v>317</v>
      </c>
      <c r="M45" t="s">
        <v>316</v>
      </c>
      <c r="N45" t="str">
        <f t="shared" si="1"/>
        <v>sgup_zipcode</v>
      </c>
      <c r="O45" t="s">
        <v>316</v>
      </c>
      <c r="P45" t="s">
        <v>500</v>
      </c>
      <c r="Q45" t="str">
        <f t="shared" si="5"/>
        <v>"zipcode":"sgup_zipcode",</v>
      </c>
    </row>
    <row r="46" spans="1:17" hidden="1" x14ac:dyDescent="0.35">
      <c r="A46">
        <v>2</v>
      </c>
      <c r="B46">
        <v>44</v>
      </c>
      <c r="C46" t="s">
        <v>501</v>
      </c>
      <c r="D46" s="6" t="s">
        <v>613</v>
      </c>
      <c r="E46" t="s">
        <v>44</v>
      </c>
      <c r="G46" t="s">
        <v>262</v>
      </c>
      <c r="H46" t="s">
        <v>349</v>
      </c>
      <c r="I46" s="1" t="s">
        <v>316</v>
      </c>
      <c r="J46" t="str">
        <f t="shared" si="0"/>
        <v>income</v>
      </c>
      <c r="K46" t="s">
        <v>316</v>
      </c>
      <c r="L46" t="s">
        <v>317</v>
      </c>
      <c r="M46" t="s">
        <v>316</v>
      </c>
      <c r="N46" t="str">
        <f t="shared" si="1"/>
        <v>sgup_income</v>
      </c>
      <c r="O46" t="s">
        <v>316</v>
      </c>
      <c r="P46" t="s">
        <v>500</v>
      </c>
      <c r="Q46" t="str">
        <f t="shared" si="5"/>
        <v>"income":"sgup_income",</v>
      </c>
    </row>
    <row r="47" spans="1:17" hidden="1" x14ac:dyDescent="0.35">
      <c r="A47">
        <v>2</v>
      </c>
      <c r="B47">
        <v>45</v>
      </c>
      <c r="C47" t="s">
        <v>501</v>
      </c>
      <c r="D47" s="6" t="s">
        <v>614</v>
      </c>
      <c r="E47" t="s">
        <v>45</v>
      </c>
      <c r="G47" t="s">
        <v>263</v>
      </c>
      <c r="H47" t="s">
        <v>350</v>
      </c>
      <c r="I47" s="1" t="s">
        <v>316</v>
      </c>
      <c r="J47" t="str">
        <f t="shared" si="0"/>
        <v>goal</v>
      </c>
      <c r="K47" t="s">
        <v>316</v>
      </c>
      <c r="L47" t="s">
        <v>317</v>
      </c>
      <c r="M47" t="s">
        <v>316</v>
      </c>
      <c r="N47" t="str">
        <f t="shared" si="1"/>
        <v>sgup_goal_event</v>
      </c>
      <c r="O47" t="s">
        <v>316</v>
      </c>
      <c r="P47" t="s">
        <v>500</v>
      </c>
      <c r="Q47" t="str">
        <f t="shared" si="5"/>
        <v>"goal":"sgup_goal_event",</v>
      </c>
    </row>
    <row r="48" spans="1:17" hidden="1" x14ac:dyDescent="0.35">
      <c r="A48">
        <v>2</v>
      </c>
      <c r="B48">
        <v>46</v>
      </c>
      <c r="C48" t="s">
        <v>501</v>
      </c>
      <c r="D48" s="6" t="s">
        <v>615</v>
      </c>
      <c r="E48" t="s">
        <v>46</v>
      </c>
      <c r="G48" t="s">
        <v>264</v>
      </c>
      <c r="H48" t="s">
        <v>351</v>
      </c>
      <c r="I48" s="1" t="s">
        <v>316</v>
      </c>
      <c r="J48" t="str">
        <f t="shared" si="0"/>
        <v>date</v>
      </c>
      <c r="K48" t="s">
        <v>316</v>
      </c>
      <c r="L48" t="s">
        <v>317</v>
      </c>
      <c r="M48" t="s">
        <v>316</v>
      </c>
      <c r="N48" t="str">
        <f t="shared" si="1"/>
        <v>sgup_frequence_date</v>
      </c>
      <c r="O48" t="s">
        <v>316</v>
      </c>
      <c r="P48" t="s">
        <v>500</v>
      </c>
      <c r="Q48" t="str">
        <f t="shared" si="5"/>
        <v>"date":"sgup_frequence_date",</v>
      </c>
    </row>
    <row r="49" spans="1:17" hidden="1" x14ac:dyDescent="0.35">
      <c r="A49">
        <v>2</v>
      </c>
      <c r="B49">
        <v>47</v>
      </c>
      <c r="C49" t="s">
        <v>501</v>
      </c>
      <c r="D49" s="6" t="s">
        <v>616</v>
      </c>
      <c r="E49" t="s">
        <v>47</v>
      </c>
      <c r="G49" t="s">
        <v>265</v>
      </c>
      <c r="H49" t="s">
        <v>352</v>
      </c>
      <c r="I49" s="1" t="s">
        <v>316</v>
      </c>
      <c r="J49" t="str">
        <f t="shared" si="0"/>
        <v>go_out</v>
      </c>
      <c r="K49" t="s">
        <v>316</v>
      </c>
      <c r="L49" t="s">
        <v>317</v>
      </c>
      <c r="M49" t="s">
        <v>316</v>
      </c>
      <c r="N49" t="str">
        <f t="shared" si="1"/>
        <v>sgup_frequence_go_out</v>
      </c>
      <c r="O49" t="s">
        <v>316</v>
      </c>
      <c r="P49" t="s">
        <v>500</v>
      </c>
      <c r="Q49" t="str">
        <f t="shared" si="5"/>
        <v>"go_out":"sgup_frequence_go_out",</v>
      </c>
    </row>
    <row r="50" spans="1:17" hidden="1" x14ac:dyDescent="0.35">
      <c r="A50">
        <v>2</v>
      </c>
      <c r="B50">
        <v>48</v>
      </c>
      <c r="C50" t="s">
        <v>501</v>
      </c>
      <c r="D50" s="6" t="s">
        <v>617</v>
      </c>
      <c r="E50" t="s">
        <v>48</v>
      </c>
      <c r="G50" t="s">
        <v>266</v>
      </c>
      <c r="H50" t="s">
        <v>353</v>
      </c>
      <c r="I50" s="1" t="s">
        <v>316</v>
      </c>
      <c r="J50" t="str">
        <f t="shared" si="0"/>
        <v>career</v>
      </c>
      <c r="K50" t="s">
        <v>316</v>
      </c>
      <c r="L50" t="s">
        <v>317</v>
      </c>
      <c r="M50" t="s">
        <v>316</v>
      </c>
      <c r="N50" t="str">
        <f t="shared" si="1"/>
        <v>sgup_intended_career</v>
      </c>
      <c r="O50" t="s">
        <v>316</v>
      </c>
      <c r="P50" t="s">
        <v>500</v>
      </c>
      <c r="Q50" t="str">
        <f t="shared" si="5"/>
        <v>"career":"sgup_intended_career",</v>
      </c>
    </row>
    <row r="51" spans="1:17" hidden="1" x14ac:dyDescent="0.35">
      <c r="A51">
        <v>2</v>
      </c>
      <c r="B51">
        <v>49</v>
      </c>
      <c r="C51" t="s">
        <v>501</v>
      </c>
      <c r="D51" s="6" t="s">
        <v>618</v>
      </c>
      <c r="E51" t="s">
        <v>49</v>
      </c>
      <c r="G51" t="s">
        <v>267</v>
      </c>
      <c r="H51" t="s">
        <v>354</v>
      </c>
      <c r="I51" s="1" t="s">
        <v>316</v>
      </c>
      <c r="J51" t="str">
        <f t="shared" si="0"/>
        <v>career_c</v>
      </c>
      <c r="K51" t="s">
        <v>316</v>
      </c>
      <c r="L51" t="s">
        <v>317</v>
      </c>
      <c r="M51" t="s">
        <v>316</v>
      </c>
      <c r="N51" t="str">
        <f t="shared" si="1"/>
        <v>sgup_career_code</v>
      </c>
      <c r="O51" t="s">
        <v>316</v>
      </c>
      <c r="P51" t="s">
        <v>500</v>
      </c>
      <c r="Q51" t="str">
        <f t="shared" si="5"/>
        <v>"career_c":"sgup_career_code",</v>
      </c>
    </row>
    <row r="52" spans="1:17" hidden="1" x14ac:dyDescent="0.35">
      <c r="A52">
        <v>2</v>
      </c>
      <c r="B52">
        <v>50</v>
      </c>
      <c r="C52" t="s">
        <v>501</v>
      </c>
      <c r="D52" s="6" t="s">
        <v>619</v>
      </c>
      <c r="E52" t="s">
        <v>50</v>
      </c>
      <c r="G52" t="s">
        <v>268</v>
      </c>
      <c r="H52" t="s">
        <v>355</v>
      </c>
      <c r="I52" s="1" t="s">
        <v>316</v>
      </c>
      <c r="J52" t="str">
        <f t="shared" si="0"/>
        <v>sports</v>
      </c>
      <c r="K52" t="s">
        <v>316</v>
      </c>
      <c r="L52" t="s">
        <v>317</v>
      </c>
      <c r="M52" t="s">
        <v>316</v>
      </c>
      <c r="N52" t="str">
        <f t="shared" si="1"/>
        <v>sgup_sports_athletics</v>
      </c>
      <c r="O52" t="s">
        <v>316</v>
      </c>
      <c r="P52" t="s">
        <v>500</v>
      </c>
      <c r="Q52" t="str">
        <f t="shared" si="5"/>
        <v>"sports":"sgup_sports_athletics",</v>
      </c>
    </row>
    <row r="53" spans="1:17" hidden="1" x14ac:dyDescent="0.35">
      <c r="A53">
        <v>2</v>
      </c>
      <c r="B53">
        <v>51</v>
      </c>
      <c r="C53" t="s">
        <v>501</v>
      </c>
      <c r="D53" s="6" t="s">
        <v>619</v>
      </c>
      <c r="E53" t="s">
        <v>51</v>
      </c>
      <c r="G53" t="s">
        <v>269</v>
      </c>
      <c r="H53" t="s">
        <v>356</v>
      </c>
      <c r="I53" s="1" t="s">
        <v>316</v>
      </c>
      <c r="J53" t="str">
        <f t="shared" si="0"/>
        <v>tvsports</v>
      </c>
      <c r="K53" t="s">
        <v>316</v>
      </c>
      <c r="L53" t="s">
        <v>317</v>
      </c>
      <c r="M53" t="s">
        <v>316</v>
      </c>
      <c r="N53" t="str">
        <f t="shared" si="1"/>
        <v>sgup_watching_sports</v>
      </c>
      <c r="O53" t="s">
        <v>316</v>
      </c>
      <c r="P53" t="s">
        <v>500</v>
      </c>
      <c r="Q53" t="str">
        <f t="shared" si="5"/>
        <v>"tvsports":"sgup_watching_sports",</v>
      </c>
    </row>
    <row r="54" spans="1:17" hidden="1" x14ac:dyDescent="0.35">
      <c r="A54">
        <v>2</v>
      </c>
      <c r="B54">
        <v>52</v>
      </c>
      <c r="C54" t="s">
        <v>501</v>
      </c>
      <c r="D54" s="6" t="s">
        <v>619</v>
      </c>
      <c r="E54" t="s">
        <v>52</v>
      </c>
      <c r="G54" t="s">
        <v>270</v>
      </c>
      <c r="H54" t="s">
        <v>357</v>
      </c>
      <c r="I54" s="1" t="s">
        <v>316</v>
      </c>
      <c r="J54" t="str">
        <f t="shared" si="0"/>
        <v>exercise</v>
      </c>
      <c r="K54" t="s">
        <v>316</v>
      </c>
      <c r="L54" t="s">
        <v>317</v>
      </c>
      <c r="M54" t="s">
        <v>316</v>
      </c>
      <c r="N54" t="str">
        <f t="shared" si="1"/>
        <v>sgup_bodybuilding_exercising</v>
      </c>
      <c r="O54" t="s">
        <v>316</v>
      </c>
      <c r="P54" t="s">
        <v>500</v>
      </c>
      <c r="Q54" t="str">
        <f t="shared" si="5"/>
        <v>"exercise":"sgup_bodybuilding_exercising",</v>
      </c>
    </row>
    <row r="55" spans="1:17" hidden="1" x14ac:dyDescent="0.35">
      <c r="A55">
        <v>2</v>
      </c>
      <c r="B55">
        <v>53</v>
      </c>
      <c r="C55" t="s">
        <v>501</v>
      </c>
      <c r="D55" s="6" t="s">
        <v>619</v>
      </c>
      <c r="E55" t="s">
        <v>53</v>
      </c>
      <c r="G55" t="s">
        <v>271</v>
      </c>
      <c r="H55" t="s">
        <v>358</v>
      </c>
      <c r="I55" s="1" t="s">
        <v>316</v>
      </c>
      <c r="J55" t="str">
        <f t="shared" si="0"/>
        <v>dining</v>
      </c>
      <c r="K55" t="s">
        <v>316</v>
      </c>
      <c r="L55" t="s">
        <v>317</v>
      </c>
      <c r="M55" t="s">
        <v>316</v>
      </c>
      <c r="N55" t="str">
        <f t="shared" si="1"/>
        <v>sgup_dining_out</v>
      </c>
      <c r="O55" t="s">
        <v>316</v>
      </c>
      <c r="P55" t="s">
        <v>500</v>
      </c>
      <c r="Q55" t="str">
        <f t="shared" si="5"/>
        <v>"dining":"sgup_dining_out",</v>
      </c>
    </row>
    <row r="56" spans="1:17" hidden="1" x14ac:dyDescent="0.35">
      <c r="A56">
        <v>2</v>
      </c>
      <c r="B56">
        <v>54</v>
      </c>
      <c r="C56" t="s">
        <v>501</v>
      </c>
      <c r="D56" s="6" t="s">
        <v>619</v>
      </c>
      <c r="E56" t="s">
        <v>54</v>
      </c>
      <c r="G56" t="s">
        <v>272</v>
      </c>
      <c r="H56" t="s">
        <v>359</v>
      </c>
      <c r="I56" s="1" t="s">
        <v>316</v>
      </c>
      <c r="J56" t="str">
        <f t="shared" si="0"/>
        <v>museums</v>
      </c>
      <c r="K56" t="s">
        <v>316</v>
      </c>
      <c r="L56" t="s">
        <v>317</v>
      </c>
      <c r="M56" t="s">
        <v>316</v>
      </c>
      <c r="N56" t="str">
        <f t="shared" si="1"/>
        <v>sgup_museums_galleries</v>
      </c>
      <c r="O56" t="s">
        <v>316</v>
      </c>
      <c r="P56" t="s">
        <v>500</v>
      </c>
      <c r="Q56" t="str">
        <f t="shared" si="5"/>
        <v>"museums":"sgup_museums_galleries",</v>
      </c>
    </row>
    <row r="57" spans="1:17" hidden="1" x14ac:dyDescent="0.35">
      <c r="A57">
        <v>2</v>
      </c>
      <c r="B57">
        <v>55</v>
      </c>
      <c r="C57" t="s">
        <v>501</v>
      </c>
      <c r="D57" s="6" t="s">
        <v>619</v>
      </c>
      <c r="E57" t="s">
        <v>55</v>
      </c>
      <c r="G57" t="s">
        <v>273</v>
      </c>
      <c r="H57" t="s">
        <v>360</v>
      </c>
      <c r="I57" s="1" t="s">
        <v>316</v>
      </c>
      <c r="J57" t="str">
        <f t="shared" si="0"/>
        <v>art</v>
      </c>
      <c r="K57" t="s">
        <v>316</v>
      </c>
      <c r="L57" t="s">
        <v>317</v>
      </c>
      <c r="M57" t="s">
        <v>316</v>
      </c>
      <c r="N57" t="str">
        <f t="shared" si="1"/>
        <v>sgup_art</v>
      </c>
      <c r="O57" t="s">
        <v>316</v>
      </c>
      <c r="P57" t="s">
        <v>500</v>
      </c>
      <c r="Q57" t="str">
        <f t="shared" si="5"/>
        <v>"art":"sgup_art",</v>
      </c>
    </row>
    <row r="58" spans="1:17" hidden="1" x14ac:dyDescent="0.35">
      <c r="A58">
        <v>2</v>
      </c>
      <c r="B58">
        <v>56</v>
      </c>
      <c r="C58" t="s">
        <v>501</v>
      </c>
      <c r="D58" s="6" t="s">
        <v>619</v>
      </c>
      <c r="E58" t="s">
        <v>56</v>
      </c>
      <c r="G58" t="s">
        <v>274</v>
      </c>
      <c r="H58" t="s">
        <v>361</v>
      </c>
      <c r="I58" s="1" t="s">
        <v>316</v>
      </c>
      <c r="J58" t="str">
        <f t="shared" si="0"/>
        <v>hiking</v>
      </c>
      <c r="K58" t="s">
        <v>316</v>
      </c>
      <c r="L58" t="s">
        <v>317</v>
      </c>
      <c r="M58" t="s">
        <v>316</v>
      </c>
      <c r="N58" t="str">
        <f t="shared" si="1"/>
        <v>sgup_hiking_camping</v>
      </c>
      <c r="O58" t="s">
        <v>316</v>
      </c>
      <c r="P58" t="s">
        <v>500</v>
      </c>
      <c r="Q58" t="str">
        <f t="shared" si="5"/>
        <v>"hiking":"sgup_hiking_camping",</v>
      </c>
    </row>
    <row r="59" spans="1:17" hidden="1" x14ac:dyDescent="0.35">
      <c r="A59">
        <v>2</v>
      </c>
      <c r="B59">
        <v>57</v>
      </c>
      <c r="C59" t="s">
        <v>501</v>
      </c>
      <c r="D59" s="6" t="s">
        <v>619</v>
      </c>
      <c r="E59" t="s">
        <v>57</v>
      </c>
      <c r="G59" t="s">
        <v>275</v>
      </c>
      <c r="H59" t="s">
        <v>362</v>
      </c>
      <c r="I59" s="1" t="s">
        <v>316</v>
      </c>
      <c r="J59" t="str">
        <f t="shared" si="0"/>
        <v>gaming</v>
      </c>
      <c r="K59" t="s">
        <v>316</v>
      </c>
      <c r="L59" t="s">
        <v>317</v>
      </c>
      <c r="M59" t="s">
        <v>316</v>
      </c>
      <c r="N59" t="str">
        <f t="shared" si="1"/>
        <v>sgup_gaming</v>
      </c>
      <c r="O59" t="s">
        <v>316</v>
      </c>
      <c r="P59" t="s">
        <v>500</v>
      </c>
      <c r="Q59" t="str">
        <f t="shared" si="5"/>
        <v>"gaming":"sgup_gaming",</v>
      </c>
    </row>
    <row r="60" spans="1:17" hidden="1" x14ac:dyDescent="0.35">
      <c r="A60">
        <v>2</v>
      </c>
      <c r="B60">
        <v>58</v>
      </c>
      <c r="C60" t="s">
        <v>501</v>
      </c>
      <c r="D60" s="6" t="s">
        <v>619</v>
      </c>
      <c r="E60" t="s">
        <v>58</v>
      </c>
      <c r="G60" t="s">
        <v>276</v>
      </c>
      <c r="H60" t="s">
        <v>363</v>
      </c>
      <c r="I60" s="1" t="s">
        <v>316</v>
      </c>
      <c r="J60" t="str">
        <f t="shared" si="0"/>
        <v>clubbing</v>
      </c>
      <c r="K60" t="s">
        <v>316</v>
      </c>
      <c r="L60" t="s">
        <v>317</v>
      </c>
      <c r="M60" t="s">
        <v>316</v>
      </c>
      <c r="N60" t="str">
        <f t="shared" si="1"/>
        <v>sgup_dancing_clubbing</v>
      </c>
      <c r="O60" t="s">
        <v>316</v>
      </c>
      <c r="P60" t="s">
        <v>500</v>
      </c>
      <c r="Q60" t="str">
        <f t="shared" si="5"/>
        <v>"clubbing":"sgup_dancing_clubbing",</v>
      </c>
    </row>
    <row r="61" spans="1:17" hidden="1" x14ac:dyDescent="0.35">
      <c r="A61">
        <v>2</v>
      </c>
      <c r="B61">
        <v>59</v>
      </c>
      <c r="C61" t="s">
        <v>501</v>
      </c>
      <c r="D61" s="6" t="s">
        <v>619</v>
      </c>
      <c r="E61" t="s">
        <v>59</v>
      </c>
      <c r="G61" t="s">
        <v>277</v>
      </c>
      <c r="H61" t="s">
        <v>364</v>
      </c>
      <c r="I61" s="1" t="s">
        <v>316</v>
      </c>
      <c r="J61" t="str">
        <f t="shared" si="0"/>
        <v>reading</v>
      </c>
      <c r="K61" t="s">
        <v>316</v>
      </c>
      <c r="L61" t="s">
        <v>317</v>
      </c>
      <c r="M61" t="s">
        <v>316</v>
      </c>
      <c r="N61" t="str">
        <f t="shared" si="1"/>
        <v>sgup_reading</v>
      </c>
      <c r="O61" t="s">
        <v>316</v>
      </c>
      <c r="P61" t="s">
        <v>500</v>
      </c>
      <c r="Q61" t="str">
        <f t="shared" si="5"/>
        <v>"reading":"sgup_reading",</v>
      </c>
    </row>
    <row r="62" spans="1:17" hidden="1" x14ac:dyDescent="0.35">
      <c r="A62">
        <v>2</v>
      </c>
      <c r="B62">
        <v>60</v>
      </c>
      <c r="C62" t="s">
        <v>501</v>
      </c>
      <c r="D62" s="6" t="s">
        <v>619</v>
      </c>
      <c r="E62" t="s">
        <v>60</v>
      </c>
      <c r="G62" t="s">
        <v>278</v>
      </c>
      <c r="H62" t="s">
        <v>365</v>
      </c>
      <c r="I62" s="1" t="s">
        <v>316</v>
      </c>
      <c r="J62" t="str">
        <f t="shared" si="0"/>
        <v>tv</v>
      </c>
      <c r="K62" t="s">
        <v>316</v>
      </c>
      <c r="L62" t="s">
        <v>317</v>
      </c>
      <c r="M62" t="s">
        <v>316</v>
      </c>
      <c r="N62" t="str">
        <f t="shared" si="1"/>
        <v>sgup_watching_tv</v>
      </c>
      <c r="O62" t="s">
        <v>316</v>
      </c>
      <c r="P62" t="s">
        <v>500</v>
      </c>
      <c r="Q62" t="str">
        <f t="shared" si="5"/>
        <v>"tv":"sgup_watching_tv",</v>
      </c>
    </row>
    <row r="63" spans="1:17" hidden="1" x14ac:dyDescent="0.35">
      <c r="A63">
        <v>2</v>
      </c>
      <c r="B63">
        <v>61</v>
      </c>
      <c r="C63" t="s">
        <v>501</v>
      </c>
      <c r="D63" s="6" t="s">
        <v>619</v>
      </c>
      <c r="E63" t="s">
        <v>61</v>
      </c>
      <c r="G63" t="s">
        <v>279</v>
      </c>
      <c r="H63" t="s">
        <v>366</v>
      </c>
      <c r="I63" s="1" t="s">
        <v>316</v>
      </c>
      <c r="J63" t="str">
        <f t="shared" si="0"/>
        <v>theater</v>
      </c>
      <c r="K63" t="s">
        <v>316</v>
      </c>
      <c r="L63" t="s">
        <v>317</v>
      </c>
      <c r="M63" t="s">
        <v>316</v>
      </c>
      <c r="N63" t="str">
        <f t="shared" si="1"/>
        <v>sgup_Theater</v>
      </c>
      <c r="O63" t="s">
        <v>316</v>
      </c>
      <c r="P63" t="s">
        <v>500</v>
      </c>
      <c r="Q63" t="str">
        <f t="shared" si="5"/>
        <v>"theater":"sgup_Theater",</v>
      </c>
    </row>
    <row r="64" spans="1:17" hidden="1" x14ac:dyDescent="0.35">
      <c r="A64">
        <v>2</v>
      </c>
      <c r="B64">
        <v>62</v>
      </c>
      <c r="C64" t="s">
        <v>501</v>
      </c>
      <c r="D64" s="6" t="s">
        <v>619</v>
      </c>
      <c r="E64" t="s">
        <v>62</v>
      </c>
      <c r="G64" t="s">
        <v>280</v>
      </c>
      <c r="H64" t="s">
        <v>367</v>
      </c>
      <c r="I64" s="1" t="s">
        <v>316</v>
      </c>
      <c r="J64" t="str">
        <f t="shared" si="0"/>
        <v>movies</v>
      </c>
      <c r="K64" t="s">
        <v>316</v>
      </c>
      <c r="L64" t="s">
        <v>317</v>
      </c>
      <c r="M64" t="s">
        <v>316</v>
      </c>
      <c r="N64" t="str">
        <f t="shared" si="1"/>
        <v>sgup_Movies</v>
      </c>
      <c r="O64" t="s">
        <v>316</v>
      </c>
      <c r="P64" t="s">
        <v>500</v>
      </c>
      <c r="Q64" t="str">
        <f t="shared" si="5"/>
        <v>"movies":"sgup_Movies",</v>
      </c>
    </row>
    <row r="65" spans="1:17" hidden="1" x14ac:dyDescent="0.35">
      <c r="A65">
        <v>2</v>
      </c>
      <c r="B65">
        <v>63</v>
      </c>
      <c r="C65" t="s">
        <v>501</v>
      </c>
      <c r="D65" s="6" t="s">
        <v>619</v>
      </c>
      <c r="E65" t="s">
        <v>63</v>
      </c>
      <c r="G65" t="s">
        <v>281</v>
      </c>
      <c r="H65" t="s">
        <v>368</v>
      </c>
      <c r="I65" s="1" t="s">
        <v>316</v>
      </c>
      <c r="J65" t="str">
        <f t="shared" si="0"/>
        <v>concerts</v>
      </c>
      <c r="K65" t="s">
        <v>316</v>
      </c>
      <c r="L65" t="s">
        <v>317</v>
      </c>
      <c r="M65" t="s">
        <v>316</v>
      </c>
      <c r="N65" t="str">
        <f t="shared" si="1"/>
        <v>sgup_Going to concerts</v>
      </c>
      <c r="O65" t="s">
        <v>316</v>
      </c>
      <c r="P65" t="s">
        <v>500</v>
      </c>
      <c r="Q65" t="str">
        <f t="shared" si="5"/>
        <v>"concerts":"sgup_Going to concerts",</v>
      </c>
    </row>
    <row r="66" spans="1:17" hidden="1" x14ac:dyDescent="0.35">
      <c r="A66">
        <v>2</v>
      </c>
      <c r="B66">
        <v>64</v>
      </c>
      <c r="C66" t="s">
        <v>501</v>
      </c>
      <c r="D66" s="6" t="s">
        <v>619</v>
      </c>
      <c r="E66" t="s">
        <v>64</v>
      </c>
      <c r="G66" t="s">
        <v>282</v>
      </c>
      <c r="H66" t="s">
        <v>369</v>
      </c>
      <c r="I66" s="1" t="s">
        <v>316</v>
      </c>
      <c r="J66" t="str">
        <f t="shared" si="0"/>
        <v>music</v>
      </c>
      <c r="K66" t="s">
        <v>316</v>
      </c>
      <c r="L66" t="s">
        <v>317</v>
      </c>
      <c r="M66" t="s">
        <v>316</v>
      </c>
      <c r="N66" t="str">
        <f t="shared" si="1"/>
        <v>sgup_Music</v>
      </c>
      <c r="O66" t="s">
        <v>316</v>
      </c>
      <c r="P66" t="s">
        <v>500</v>
      </c>
      <c r="Q66" t="str">
        <f t="shared" si="5"/>
        <v>"music":"sgup_Music",</v>
      </c>
    </row>
    <row r="67" spans="1:17" hidden="1" x14ac:dyDescent="0.35">
      <c r="A67">
        <v>2</v>
      </c>
      <c r="B67">
        <v>65</v>
      </c>
      <c r="C67" t="s">
        <v>501</v>
      </c>
      <c r="D67" s="6" t="s">
        <v>619</v>
      </c>
      <c r="E67" t="s">
        <v>65</v>
      </c>
      <c r="G67" t="s">
        <v>283</v>
      </c>
      <c r="H67" t="s">
        <v>370</v>
      </c>
      <c r="I67" s="1" t="s">
        <v>316</v>
      </c>
      <c r="J67" t="str">
        <f t="shared" ref="J67:J130" si="6">E67</f>
        <v>shopping</v>
      </c>
      <c r="K67" t="s">
        <v>316</v>
      </c>
      <c r="L67" t="s">
        <v>317</v>
      </c>
      <c r="M67" t="s">
        <v>316</v>
      </c>
      <c r="N67" t="str">
        <f t="shared" ref="N67:N130" si="7">G67</f>
        <v>sgup_Shopping</v>
      </c>
      <c r="O67" t="s">
        <v>316</v>
      </c>
      <c r="P67" t="s">
        <v>500</v>
      </c>
      <c r="Q67" t="str">
        <f t="shared" si="5"/>
        <v>"shopping":"sgup_Shopping",</v>
      </c>
    </row>
    <row r="68" spans="1:17" hidden="1" x14ac:dyDescent="0.35">
      <c r="A68">
        <v>2</v>
      </c>
      <c r="B68">
        <v>66</v>
      </c>
      <c r="C68" t="s">
        <v>501</v>
      </c>
      <c r="D68" s="6" t="s">
        <v>619</v>
      </c>
      <c r="E68" t="s">
        <v>66</v>
      </c>
      <c r="G68" t="s">
        <v>284</v>
      </c>
      <c r="H68" t="s">
        <v>371</v>
      </c>
      <c r="I68" s="1" t="s">
        <v>316</v>
      </c>
      <c r="J68" t="str">
        <f t="shared" si="6"/>
        <v>yoga</v>
      </c>
      <c r="K68" t="s">
        <v>316</v>
      </c>
      <c r="L68" t="s">
        <v>317</v>
      </c>
      <c r="M68" t="s">
        <v>316</v>
      </c>
      <c r="N68" t="str">
        <f t="shared" si="7"/>
        <v>sgup_Yoga/meditation</v>
      </c>
      <c r="O68" t="s">
        <v>316</v>
      </c>
      <c r="P68" t="s">
        <v>500</v>
      </c>
      <c r="Q68" t="str">
        <f t="shared" si="5"/>
        <v>"yoga":"sgup_Yoga/meditation",</v>
      </c>
    </row>
    <row r="69" spans="1:17" ht="29" hidden="1" x14ac:dyDescent="0.35">
      <c r="A69">
        <v>2</v>
      </c>
      <c r="B69">
        <v>67</v>
      </c>
      <c r="C69" t="s">
        <v>501</v>
      </c>
      <c r="D69" s="6" t="s">
        <v>620</v>
      </c>
      <c r="E69" t="s">
        <v>67</v>
      </c>
      <c r="G69" t="s">
        <v>285</v>
      </c>
      <c r="H69" t="s">
        <v>372</v>
      </c>
      <c r="I69" s="1" t="s">
        <v>316</v>
      </c>
      <c r="J69" t="str">
        <f t="shared" si="6"/>
        <v>exphappy</v>
      </c>
      <c r="K69" t="s">
        <v>316</v>
      </c>
      <c r="L69" t="s">
        <v>317</v>
      </c>
      <c r="M69" t="s">
        <v>316</v>
      </c>
      <c r="N69" t="str">
        <f t="shared" si="7"/>
        <v>sgup_expect_happy</v>
      </c>
      <c r="O69" t="s">
        <v>316</v>
      </c>
      <c r="P69" t="s">
        <v>500</v>
      </c>
      <c r="Q69" t="str">
        <f t="shared" si="5"/>
        <v>"exphappy":"sgup_expect_happy",</v>
      </c>
    </row>
    <row r="70" spans="1:17" ht="29" hidden="1" x14ac:dyDescent="0.35">
      <c r="A70">
        <v>2</v>
      </c>
      <c r="B70">
        <v>68</v>
      </c>
      <c r="C70" t="s">
        <v>501</v>
      </c>
      <c r="D70" s="6" t="s">
        <v>621</v>
      </c>
      <c r="E70" t="s">
        <v>68</v>
      </c>
      <c r="G70" t="s">
        <v>286</v>
      </c>
      <c r="H70" t="s">
        <v>373</v>
      </c>
      <c r="I70" s="1" t="s">
        <v>316</v>
      </c>
      <c r="J70" t="str">
        <f t="shared" si="6"/>
        <v>expnum</v>
      </c>
      <c r="K70" t="s">
        <v>316</v>
      </c>
      <c r="L70" t="s">
        <v>317</v>
      </c>
      <c r="M70" t="s">
        <v>316</v>
      </c>
      <c r="N70" t="str">
        <f t="shared" si="7"/>
        <v>sgup_expect_interest_people</v>
      </c>
      <c r="O70" t="s">
        <v>316</v>
      </c>
      <c r="P70" t="s">
        <v>500</v>
      </c>
      <c r="Q70" t="str">
        <f t="shared" si="5"/>
        <v>"expnum":"sgup_expect_interest_people",</v>
      </c>
    </row>
    <row r="71" spans="1:17" hidden="1" x14ac:dyDescent="0.35">
      <c r="A71">
        <v>2</v>
      </c>
      <c r="B71">
        <v>69</v>
      </c>
      <c r="C71" t="s">
        <v>501</v>
      </c>
      <c r="D71" s="6"/>
      <c r="E71" t="s">
        <v>69</v>
      </c>
      <c r="G71" t="s">
        <v>287</v>
      </c>
      <c r="H71" t="s">
        <v>374</v>
      </c>
      <c r="I71" s="1" t="s">
        <v>316</v>
      </c>
      <c r="J71" t="str">
        <f t="shared" si="6"/>
        <v>attr1_1</v>
      </c>
      <c r="K71" t="s">
        <v>316</v>
      </c>
      <c r="L71" t="s">
        <v>317</v>
      </c>
      <c r="M71" t="s">
        <v>316</v>
      </c>
      <c r="N71" t="str">
        <f t="shared" si="7"/>
        <v>sgup_attractive_01</v>
      </c>
      <c r="O71" t="s">
        <v>316</v>
      </c>
      <c r="P71" t="s">
        <v>500</v>
      </c>
      <c r="Q71" t="str">
        <f t="shared" si="5"/>
        <v>"attr1_1":"sgup_attractive_01",</v>
      </c>
    </row>
    <row r="72" spans="1:17" hidden="1" x14ac:dyDescent="0.35">
      <c r="A72">
        <v>2</v>
      </c>
      <c r="B72">
        <v>70</v>
      </c>
      <c r="C72" t="s">
        <v>501</v>
      </c>
      <c r="D72" s="6"/>
      <c r="E72" t="s">
        <v>70</v>
      </c>
      <c r="G72" t="s">
        <v>288</v>
      </c>
      <c r="H72" t="s">
        <v>375</v>
      </c>
      <c r="I72" s="1" t="s">
        <v>316</v>
      </c>
      <c r="J72" t="str">
        <f t="shared" si="6"/>
        <v>sinc1_1</v>
      </c>
      <c r="K72" t="s">
        <v>316</v>
      </c>
      <c r="L72" t="s">
        <v>317</v>
      </c>
      <c r="M72" t="s">
        <v>316</v>
      </c>
      <c r="N72" t="str">
        <f t="shared" si="7"/>
        <v>sgup_sincere_01</v>
      </c>
      <c r="O72" t="s">
        <v>316</v>
      </c>
      <c r="P72" t="s">
        <v>500</v>
      </c>
      <c r="Q72" t="str">
        <f t="shared" si="5"/>
        <v>"sinc1_1":"sgup_sincere_01",</v>
      </c>
    </row>
    <row r="73" spans="1:17" hidden="1" x14ac:dyDescent="0.35">
      <c r="A73">
        <v>2</v>
      </c>
      <c r="B73">
        <v>71</v>
      </c>
      <c r="C73" t="s">
        <v>501</v>
      </c>
      <c r="D73" s="6"/>
      <c r="E73" t="s">
        <v>71</v>
      </c>
      <c r="G73" t="s">
        <v>289</v>
      </c>
      <c r="H73" t="s">
        <v>376</v>
      </c>
      <c r="I73" s="1" t="s">
        <v>316</v>
      </c>
      <c r="J73" t="str">
        <f t="shared" si="6"/>
        <v>intel1_1</v>
      </c>
      <c r="K73" t="s">
        <v>316</v>
      </c>
      <c r="L73" t="s">
        <v>317</v>
      </c>
      <c r="M73" t="s">
        <v>316</v>
      </c>
      <c r="N73" t="str">
        <f t="shared" si="7"/>
        <v>sgup_intelligent_01</v>
      </c>
      <c r="O73" t="s">
        <v>316</v>
      </c>
      <c r="P73" t="s">
        <v>500</v>
      </c>
      <c r="Q73" t="str">
        <f t="shared" si="5"/>
        <v>"intel1_1":"sgup_intelligent_01",</v>
      </c>
    </row>
    <row r="74" spans="1:17" hidden="1" x14ac:dyDescent="0.35">
      <c r="A74">
        <v>2</v>
      </c>
      <c r="B74">
        <v>72</v>
      </c>
      <c r="C74" t="s">
        <v>501</v>
      </c>
      <c r="D74" s="6"/>
      <c r="E74" t="s">
        <v>72</v>
      </c>
      <c r="G74" t="s">
        <v>290</v>
      </c>
      <c r="H74" t="s">
        <v>377</v>
      </c>
      <c r="I74" s="1" t="s">
        <v>316</v>
      </c>
      <c r="J74" t="str">
        <f t="shared" si="6"/>
        <v>fun1_1</v>
      </c>
      <c r="K74" t="s">
        <v>316</v>
      </c>
      <c r="L74" t="s">
        <v>317</v>
      </c>
      <c r="M74" t="s">
        <v>316</v>
      </c>
      <c r="N74" t="str">
        <f t="shared" si="7"/>
        <v>sgup_fun_01</v>
      </c>
      <c r="O74" t="s">
        <v>316</v>
      </c>
      <c r="P74" t="s">
        <v>500</v>
      </c>
      <c r="Q74" t="str">
        <f t="shared" si="5"/>
        <v>"fun1_1":"sgup_fun_01",</v>
      </c>
    </row>
    <row r="75" spans="1:17" hidden="1" x14ac:dyDescent="0.35">
      <c r="A75">
        <v>2</v>
      </c>
      <c r="B75">
        <v>73</v>
      </c>
      <c r="C75" t="s">
        <v>501</v>
      </c>
      <c r="D75" s="6"/>
      <c r="E75" t="s">
        <v>73</v>
      </c>
      <c r="G75" t="s">
        <v>291</v>
      </c>
      <c r="H75" t="s">
        <v>378</v>
      </c>
      <c r="I75" s="1" t="s">
        <v>316</v>
      </c>
      <c r="J75" t="str">
        <f t="shared" si="6"/>
        <v>amb1_1</v>
      </c>
      <c r="K75" t="s">
        <v>316</v>
      </c>
      <c r="L75" t="s">
        <v>317</v>
      </c>
      <c r="M75" t="s">
        <v>316</v>
      </c>
      <c r="N75" t="str">
        <f t="shared" si="7"/>
        <v>sgup_Ambitious_01</v>
      </c>
      <c r="O75" t="s">
        <v>316</v>
      </c>
      <c r="P75" t="s">
        <v>500</v>
      </c>
      <c r="Q75" t="str">
        <f t="shared" si="5"/>
        <v>"amb1_1":"sgup_Ambitious_01",</v>
      </c>
    </row>
    <row r="76" spans="1:17" hidden="1" x14ac:dyDescent="0.35">
      <c r="A76">
        <v>2</v>
      </c>
      <c r="B76">
        <v>74</v>
      </c>
      <c r="C76" t="s">
        <v>501</v>
      </c>
      <c r="D76" s="6"/>
      <c r="E76" t="s">
        <v>74</v>
      </c>
      <c r="G76" t="s">
        <v>292</v>
      </c>
      <c r="H76" t="s">
        <v>379</v>
      </c>
      <c r="I76" s="1" t="s">
        <v>316</v>
      </c>
      <c r="J76" t="str">
        <f t="shared" si="6"/>
        <v>shar1_1</v>
      </c>
      <c r="K76" t="s">
        <v>316</v>
      </c>
      <c r="L76" t="s">
        <v>317</v>
      </c>
      <c r="M76" t="s">
        <v>316</v>
      </c>
      <c r="N76" t="str">
        <f t="shared" si="7"/>
        <v>sgup_shared_hobbies_04</v>
      </c>
      <c r="O76" t="s">
        <v>316</v>
      </c>
      <c r="P76" t="s">
        <v>500</v>
      </c>
      <c r="Q76" t="str">
        <f t="shared" si="5"/>
        <v>"shar1_1":"sgup_shared_hobbies_04",</v>
      </c>
    </row>
    <row r="77" spans="1:17" hidden="1" x14ac:dyDescent="0.35">
      <c r="A77">
        <v>2</v>
      </c>
      <c r="B77">
        <v>75</v>
      </c>
      <c r="C77" t="s">
        <v>501</v>
      </c>
      <c r="D77" s="6"/>
      <c r="E77" t="s">
        <v>75</v>
      </c>
      <c r="G77" t="s">
        <v>293</v>
      </c>
      <c r="H77" t="s">
        <v>380</v>
      </c>
      <c r="I77" s="1" t="s">
        <v>316</v>
      </c>
      <c r="J77" t="str">
        <f t="shared" si="6"/>
        <v>attr4_1</v>
      </c>
      <c r="K77" t="s">
        <v>316</v>
      </c>
      <c r="L77" t="s">
        <v>317</v>
      </c>
      <c r="M77" t="s">
        <v>316</v>
      </c>
      <c r="N77" t="str">
        <f t="shared" si="7"/>
        <v>sgup_attractive_04</v>
      </c>
      <c r="O77" t="s">
        <v>316</v>
      </c>
      <c r="P77" t="s">
        <v>500</v>
      </c>
      <c r="Q77" t="str">
        <f t="shared" si="5"/>
        <v>"attr4_1":"sgup_attractive_04",</v>
      </c>
    </row>
    <row r="78" spans="1:17" hidden="1" x14ac:dyDescent="0.35">
      <c r="A78">
        <v>2</v>
      </c>
      <c r="B78">
        <v>76</v>
      </c>
      <c r="C78" t="s">
        <v>501</v>
      </c>
      <c r="D78" s="6"/>
      <c r="E78" t="s">
        <v>76</v>
      </c>
      <c r="G78" t="s">
        <v>294</v>
      </c>
      <c r="H78" t="s">
        <v>381</v>
      </c>
      <c r="I78" s="1" t="s">
        <v>316</v>
      </c>
      <c r="J78" t="str">
        <f t="shared" si="6"/>
        <v>sinc4_1</v>
      </c>
      <c r="K78" t="s">
        <v>316</v>
      </c>
      <c r="L78" t="s">
        <v>317</v>
      </c>
      <c r="M78" t="s">
        <v>316</v>
      </c>
      <c r="N78" t="str">
        <f t="shared" si="7"/>
        <v>sgup_sincere_04</v>
      </c>
      <c r="O78" t="s">
        <v>316</v>
      </c>
      <c r="P78" t="s">
        <v>500</v>
      </c>
      <c r="Q78" t="str">
        <f t="shared" si="5"/>
        <v>"sinc4_1":"sgup_sincere_04",</v>
      </c>
    </row>
    <row r="79" spans="1:17" hidden="1" x14ac:dyDescent="0.35">
      <c r="A79">
        <v>2</v>
      </c>
      <c r="B79">
        <v>77</v>
      </c>
      <c r="C79" t="s">
        <v>501</v>
      </c>
      <c r="D79" s="6"/>
      <c r="E79" t="s">
        <v>77</v>
      </c>
      <c r="G79" t="s">
        <v>295</v>
      </c>
      <c r="H79" t="s">
        <v>382</v>
      </c>
      <c r="I79" s="1" t="s">
        <v>316</v>
      </c>
      <c r="J79" t="str">
        <f t="shared" si="6"/>
        <v>intel4_1</v>
      </c>
      <c r="K79" t="s">
        <v>316</v>
      </c>
      <c r="L79" t="s">
        <v>317</v>
      </c>
      <c r="M79" t="s">
        <v>316</v>
      </c>
      <c r="N79" t="str">
        <f t="shared" si="7"/>
        <v>sgup_intelligent_04</v>
      </c>
      <c r="O79" t="s">
        <v>316</v>
      </c>
      <c r="P79" t="s">
        <v>500</v>
      </c>
      <c r="Q79" t="str">
        <f t="shared" si="5"/>
        <v>"intel4_1":"sgup_intelligent_04",</v>
      </c>
    </row>
    <row r="80" spans="1:17" hidden="1" x14ac:dyDescent="0.35">
      <c r="A80">
        <v>2</v>
      </c>
      <c r="B80">
        <v>78</v>
      </c>
      <c r="C80" t="s">
        <v>501</v>
      </c>
      <c r="D80" s="6"/>
      <c r="E80" t="s">
        <v>78</v>
      </c>
      <c r="G80" t="s">
        <v>296</v>
      </c>
      <c r="H80" t="s">
        <v>383</v>
      </c>
      <c r="I80" s="1" t="s">
        <v>316</v>
      </c>
      <c r="J80" t="str">
        <f t="shared" si="6"/>
        <v>fun4_1</v>
      </c>
      <c r="K80" t="s">
        <v>316</v>
      </c>
      <c r="L80" t="s">
        <v>317</v>
      </c>
      <c r="M80" t="s">
        <v>316</v>
      </c>
      <c r="N80" t="str">
        <f t="shared" si="7"/>
        <v>sgup_fun_04</v>
      </c>
      <c r="O80" t="s">
        <v>316</v>
      </c>
      <c r="P80" t="s">
        <v>500</v>
      </c>
      <c r="Q80" t="str">
        <f t="shared" si="5"/>
        <v>"fun4_1":"sgup_fun_04",</v>
      </c>
    </row>
    <row r="81" spans="1:17" hidden="1" x14ac:dyDescent="0.35">
      <c r="A81">
        <v>2</v>
      </c>
      <c r="B81">
        <v>79</v>
      </c>
      <c r="C81" t="s">
        <v>501</v>
      </c>
      <c r="D81" s="6"/>
      <c r="E81" t="s">
        <v>79</v>
      </c>
      <c r="G81" t="s">
        <v>297</v>
      </c>
      <c r="H81" t="s">
        <v>384</v>
      </c>
      <c r="I81" s="1" t="s">
        <v>316</v>
      </c>
      <c r="J81" t="str">
        <f t="shared" si="6"/>
        <v>amb4_1</v>
      </c>
      <c r="K81" t="s">
        <v>316</v>
      </c>
      <c r="L81" t="s">
        <v>317</v>
      </c>
      <c r="M81" t="s">
        <v>316</v>
      </c>
      <c r="N81" t="str">
        <f t="shared" si="7"/>
        <v>sgup_ambitious_04</v>
      </c>
      <c r="O81" t="s">
        <v>316</v>
      </c>
      <c r="P81" t="s">
        <v>500</v>
      </c>
      <c r="Q81" t="str">
        <f t="shared" si="5"/>
        <v>"amb4_1":"sgup_ambitious_04",</v>
      </c>
    </row>
    <row r="82" spans="1:17" hidden="1" x14ac:dyDescent="0.35">
      <c r="A82">
        <v>2</v>
      </c>
      <c r="B82">
        <v>80</v>
      </c>
      <c r="C82" t="s">
        <v>501</v>
      </c>
      <c r="D82" s="6"/>
      <c r="E82" t="s">
        <v>80</v>
      </c>
      <c r="G82" t="s">
        <v>292</v>
      </c>
      <c r="H82" t="s">
        <v>385</v>
      </c>
      <c r="I82" s="1" t="s">
        <v>316</v>
      </c>
      <c r="J82" t="str">
        <f t="shared" si="6"/>
        <v>shar4_1</v>
      </c>
      <c r="K82" t="s">
        <v>316</v>
      </c>
      <c r="L82" t="s">
        <v>317</v>
      </c>
      <c r="M82" t="s">
        <v>316</v>
      </c>
      <c r="N82" t="str">
        <f t="shared" si="7"/>
        <v>sgup_shared_hobbies_04</v>
      </c>
      <c r="O82" t="s">
        <v>316</v>
      </c>
      <c r="P82" t="s">
        <v>500</v>
      </c>
      <c r="Q82" t="str">
        <f t="shared" si="5"/>
        <v>"shar4_1":"sgup_shared_hobbies_04",</v>
      </c>
    </row>
    <row r="83" spans="1:17" hidden="1" x14ac:dyDescent="0.35">
      <c r="A83">
        <v>2</v>
      </c>
      <c r="B83">
        <v>81</v>
      </c>
      <c r="C83" t="s">
        <v>501</v>
      </c>
      <c r="D83" s="6"/>
      <c r="E83" t="s">
        <v>81</v>
      </c>
      <c r="G83" t="s">
        <v>298</v>
      </c>
      <c r="H83" t="s">
        <v>386</v>
      </c>
      <c r="I83" s="1" t="s">
        <v>316</v>
      </c>
      <c r="J83" t="str">
        <f t="shared" si="6"/>
        <v>attr2_1</v>
      </c>
      <c r="K83" t="s">
        <v>316</v>
      </c>
      <c r="L83" t="s">
        <v>317</v>
      </c>
      <c r="M83" t="s">
        <v>316</v>
      </c>
      <c r="N83" t="str">
        <f t="shared" si="7"/>
        <v>sgup_attractive_02</v>
      </c>
      <c r="O83" t="s">
        <v>316</v>
      </c>
      <c r="P83" t="s">
        <v>500</v>
      </c>
      <c r="Q83" t="str">
        <f t="shared" si="5"/>
        <v>"attr2_1":"sgup_attractive_02",</v>
      </c>
    </row>
    <row r="84" spans="1:17" hidden="1" x14ac:dyDescent="0.35">
      <c r="A84">
        <v>2</v>
      </c>
      <c r="B84">
        <v>82</v>
      </c>
      <c r="C84" t="s">
        <v>501</v>
      </c>
      <c r="D84" s="6"/>
      <c r="E84" t="s">
        <v>82</v>
      </c>
      <c r="G84" t="s">
        <v>299</v>
      </c>
      <c r="H84" t="s">
        <v>387</v>
      </c>
      <c r="I84" s="1" t="s">
        <v>316</v>
      </c>
      <c r="J84" t="str">
        <f t="shared" si="6"/>
        <v>sinc2_1</v>
      </c>
      <c r="K84" t="s">
        <v>316</v>
      </c>
      <c r="L84" t="s">
        <v>317</v>
      </c>
      <c r="M84" t="s">
        <v>316</v>
      </c>
      <c r="N84" t="str">
        <f t="shared" si="7"/>
        <v>sgup_sincere_02</v>
      </c>
      <c r="O84" t="s">
        <v>316</v>
      </c>
      <c r="P84" t="s">
        <v>500</v>
      </c>
      <c r="Q84" t="str">
        <f t="shared" si="5"/>
        <v>"sinc2_1":"sgup_sincere_02",</v>
      </c>
    </row>
    <row r="85" spans="1:17" hidden="1" x14ac:dyDescent="0.35">
      <c r="A85">
        <v>2</v>
      </c>
      <c r="B85">
        <v>83</v>
      </c>
      <c r="C85" t="s">
        <v>501</v>
      </c>
      <c r="D85" s="6"/>
      <c r="E85" t="s">
        <v>83</v>
      </c>
      <c r="G85" t="s">
        <v>300</v>
      </c>
      <c r="H85" t="s">
        <v>388</v>
      </c>
      <c r="I85" s="1" t="s">
        <v>316</v>
      </c>
      <c r="J85" t="str">
        <f t="shared" si="6"/>
        <v>intel2_1</v>
      </c>
      <c r="K85" t="s">
        <v>316</v>
      </c>
      <c r="L85" t="s">
        <v>317</v>
      </c>
      <c r="M85" t="s">
        <v>316</v>
      </c>
      <c r="N85" t="str">
        <f t="shared" si="7"/>
        <v>sgup_intelligent_02</v>
      </c>
      <c r="O85" t="s">
        <v>316</v>
      </c>
      <c r="P85" t="s">
        <v>500</v>
      </c>
      <c r="Q85" t="str">
        <f t="shared" si="5"/>
        <v>"intel2_1":"sgup_intelligent_02",</v>
      </c>
    </row>
    <row r="86" spans="1:17" hidden="1" x14ac:dyDescent="0.35">
      <c r="A86">
        <v>2</v>
      </c>
      <c r="B86">
        <v>84</v>
      </c>
      <c r="C86" t="s">
        <v>501</v>
      </c>
      <c r="D86" s="6"/>
      <c r="E86" t="s">
        <v>84</v>
      </c>
      <c r="G86" t="s">
        <v>301</v>
      </c>
      <c r="H86" t="s">
        <v>389</v>
      </c>
      <c r="I86" s="1" t="s">
        <v>316</v>
      </c>
      <c r="J86" t="str">
        <f t="shared" si="6"/>
        <v>fun2_1</v>
      </c>
      <c r="K86" t="s">
        <v>316</v>
      </c>
      <c r="L86" t="s">
        <v>317</v>
      </c>
      <c r="M86" t="s">
        <v>316</v>
      </c>
      <c r="N86" t="str">
        <f t="shared" si="7"/>
        <v>sgup_fun_02</v>
      </c>
      <c r="O86" t="s">
        <v>316</v>
      </c>
      <c r="P86" t="s">
        <v>500</v>
      </c>
      <c r="Q86" t="str">
        <f t="shared" si="5"/>
        <v>"fun2_1":"sgup_fun_02",</v>
      </c>
    </row>
    <row r="87" spans="1:17" hidden="1" x14ac:dyDescent="0.35">
      <c r="A87">
        <v>2</v>
      </c>
      <c r="B87">
        <v>85</v>
      </c>
      <c r="C87" t="s">
        <v>501</v>
      </c>
      <c r="D87" s="6"/>
      <c r="E87" t="s">
        <v>85</v>
      </c>
      <c r="G87" t="s">
        <v>302</v>
      </c>
      <c r="H87" t="s">
        <v>390</v>
      </c>
      <c r="I87" s="1" t="s">
        <v>316</v>
      </c>
      <c r="J87" t="str">
        <f t="shared" si="6"/>
        <v>amb2_1</v>
      </c>
      <c r="K87" t="s">
        <v>316</v>
      </c>
      <c r="L87" t="s">
        <v>317</v>
      </c>
      <c r="M87" t="s">
        <v>316</v>
      </c>
      <c r="N87" t="str">
        <f t="shared" si="7"/>
        <v>sgup_ambitious_02</v>
      </c>
      <c r="O87" t="s">
        <v>316</v>
      </c>
      <c r="P87" t="s">
        <v>500</v>
      </c>
      <c r="Q87" t="str">
        <f t="shared" si="5"/>
        <v>"amb2_1":"sgup_ambitious_02",</v>
      </c>
    </row>
    <row r="88" spans="1:17" hidden="1" x14ac:dyDescent="0.35">
      <c r="A88">
        <v>2</v>
      </c>
      <c r="B88">
        <v>86</v>
      </c>
      <c r="C88" t="s">
        <v>501</v>
      </c>
      <c r="D88" s="6"/>
      <c r="E88" t="s">
        <v>86</v>
      </c>
      <c r="G88" t="s">
        <v>303</v>
      </c>
      <c r="H88" t="s">
        <v>391</v>
      </c>
      <c r="I88" s="1" t="s">
        <v>316</v>
      </c>
      <c r="J88" t="str">
        <f t="shared" si="6"/>
        <v>shar2_1</v>
      </c>
      <c r="K88" t="s">
        <v>316</v>
      </c>
      <c r="L88" t="s">
        <v>317</v>
      </c>
      <c r="M88" t="s">
        <v>316</v>
      </c>
      <c r="N88" t="str">
        <f t="shared" si="7"/>
        <v>sgup_shared_hobbies_02</v>
      </c>
      <c r="O88" t="s">
        <v>316</v>
      </c>
      <c r="P88" t="s">
        <v>500</v>
      </c>
      <c r="Q88" t="str">
        <f t="shared" si="5"/>
        <v>"shar2_1":"sgup_shared_hobbies_02",</v>
      </c>
    </row>
    <row r="89" spans="1:17" hidden="1" x14ac:dyDescent="0.35">
      <c r="A89">
        <v>2</v>
      </c>
      <c r="B89">
        <v>87</v>
      </c>
      <c r="C89" t="s">
        <v>501</v>
      </c>
      <c r="D89" s="6"/>
      <c r="E89" t="s">
        <v>87</v>
      </c>
      <c r="G89" t="s">
        <v>304</v>
      </c>
      <c r="H89" t="s">
        <v>392</v>
      </c>
      <c r="I89" s="1" t="s">
        <v>316</v>
      </c>
      <c r="J89" t="str">
        <f t="shared" si="6"/>
        <v>attr3_1</v>
      </c>
      <c r="K89" t="s">
        <v>316</v>
      </c>
      <c r="L89" t="s">
        <v>317</v>
      </c>
      <c r="M89" t="s">
        <v>316</v>
      </c>
      <c r="N89" t="str">
        <f t="shared" si="7"/>
        <v>sgup_attractive_03</v>
      </c>
      <c r="O89" t="s">
        <v>316</v>
      </c>
      <c r="P89" t="s">
        <v>500</v>
      </c>
      <c r="Q89" t="str">
        <f t="shared" si="5"/>
        <v>"attr3_1":"sgup_attractive_03",</v>
      </c>
    </row>
    <row r="90" spans="1:17" hidden="1" x14ac:dyDescent="0.35">
      <c r="A90">
        <v>2</v>
      </c>
      <c r="B90">
        <v>88</v>
      </c>
      <c r="C90" t="s">
        <v>501</v>
      </c>
      <c r="D90" s="6"/>
      <c r="E90" t="s">
        <v>88</v>
      </c>
      <c r="G90" t="s">
        <v>305</v>
      </c>
      <c r="H90" t="s">
        <v>393</v>
      </c>
      <c r="I90" s="1" t="s">
        <v>316</v>
      </c>
      <c r="J90" t="str">
        <f t="shared" si="6"/>
        <v>sinc3_1</v>
      </c>
      <c r="K90" t="s">
        <v>316</v>
      </c>
      <c r="L90" t="s">
        <v>317</v>
      </c>
      <c r="M90" t="s">
        <v>316</v>
      </c>
      <c r="N90" t="str">
        <f t="shared" si="7"/>
        <v>sgup_sincere_03</v>
      </c>
      <c r="O90" t="s">
        <v>316</v>
      </c>
      <c r="P90" t="s">
        <v>500</v>
      </c>
      <c r="Q90" t="str">
        <f t="shared" si="5"/>
        <v>"sinc3_1":"sgup_sincere_03",</v>
      </c>
    </row>
    <row r="91" spans="1:17" hidden="1" x14ac:dyDescent="0.35">
      <c r="A91">
        <v>2</v>
      </c>
      <c r="B91">
        <v>89</v>
      </c>
      <c r="C91" t="s">
        <v>501</v>
      </c>
      <c r="D91" s="6"/>
      <c r="E91" t="s">
        <v>89</v>
      </c>
      <c r="G91" t="s">
        <v>306</v>
      </c>
      <c r="H91" t="s">
        <v>394</v>
      </c>
      <c r="I91" s="1" t="s">
        <v>316</v>
      </c>
      <c r="J91" t="str">
        <f t="shared" si="6"/>
        <v>fun3_1</v>
      </c>
      <c r="K91" t="s">
        <v>316</v>
      </c>
      <c r="L91" t="s">
        <v>317</v>
      </c>
      <c r="M91" t="s">
        <v>316</v>
      </c>
      <c r="N91" t="str">
        <f t="shared" si="7"/>
        <v>sgup_fun_03</v>
      </c>
      <c r="O91" t="s">
        <v>316</v>
      </c>
      <c r="P91" t="s">
        <v>500</v>
      </c>
      <c r="Q91" t="str">
        <f t="shared" si="5"/>
        <v>"fun3_1":"sgup_fun_03",</v>
      </c>
    </row>
    <row r="92" spans="1:17" hidden="1" x14ac:dyDescent="0.35">
      <c r="A92">
        <v>2</v>
      </c>
      <c r="B92">
        <v>90</v>
      </c>
      <c r="C92" t="s">
        <v>501</v>
      </c>
      <c r="D92" s="6"/>
      <c r="E92" t="s">
        <v>90</v>
      </c>
      <c r="G92" t="s">
        <v>307</v>
      </c>
      <c r="H92" t="s">
        <v>395</v>
      </c>
      <c r="I92" s="1" t="s">
        <v>316</v>
      </c>
      <c r="J92" t="str">
        <f t="shared" si="6"/>
        <v>intel3_1</v>
      </c>
      <c r="K92" t="s">
        <v>316</v>
      </c>
      <c r="L92" t="s">
        <v>317</v>
      </c>
      <c r="M92" t="s">
        <v>316</v>
      </c>
      <c r="N92" t="str">
        <f t="shared" si="7"/>
        <v>sgup_intelligent_03</v>
      </c>
      <c r="O92" t="s">
        <v>316</v>
      </c>
      <c r="P92" t="s">
        <v>500</v>
      </c>
      <c r="Q92" t="str">
        <f t="shared" si="5"/>
        <v>"intel3_1":"sgup_intelligent_03",</v>
      </c>
    </row>
    <row r="93" spans="1:17" hidden="1" x14ac:dyDescent="0.35">
      <c r="A93">
        <v>2</v>
      </c>
      <c r="B93">
        <v>91</v>
      </c>
      <c r="C93" t="s">
        <v>501</v>
      </c>
      <c r="D93" s="6"/>
      <c r="E93" t="s">
        <v>91</v>
      </c>
      <c r="G93" t="s">
        <v>308</v>
      </c>
      <c r="H93" t="s">
        <v>396</v>
      </c>
      <c r="I93" s="1" t="s">
        <v>316</v>
      </c>
      <c r="J93" t="str">
        <f t="shared" si="6"/>
        <v>amb3_1</v>
      </c>
      <c r="K93" t="s">
        <v>316</v>
      </c>
      <c r="L93" t="s">
        <v>317</v>
      </c>
      <c r="M93" t="s">
        <v>316</v>
      </c>
      <c r="N93" t="str">
        <f t="shared" si="7"/>
        <v>sgup_ambitious_03</v>
      </c>
      <c r="O93" t="s">
        <v>316</v>
      </c>
      <c r="P93" t="s">
        <v>500</v>
      </c>
      <c r="Q93" t="str">
        <f t="shared" si="5"/>
        <v>"amb3_1":"sgup_ambitious_03",</v>
      </c>
    </row>
    <row r="94" spans="1:17" hidden="1" x14ac:dyDescent="0.35">
      <c r="A94">
        <v>2</v>
      </c>
      <c r="B94">
        <v>92</v>
      </c>
      <c r="C94" t="s">
        <v>501</v>
      </c>
      <c r="D94" s="6"/>
      <c r="E94" t="s">
        <v>92</v>
      </c>
      <c r="G94" t="s">
        <v>309</v>
      </c>
      <c r="H94" t="s">
        <v>397</v>
      </c>
      <c r="I94" s="1" t="s">
        <v>316</v>
      </c>
      <c r="J94" t="str">
        <f t="shared" si="6"/>
        <v>attr5_1</v>
      </c>
      <c r="K94" t="s">
        <v>316</v>
      </c>
      <c r="L94" t="s">
        <v>317</v>
      </c>
      <c r="M94" t="s">
        <v>316</v>
      </c>
      <c r="N94" t="str">
        <f t="shared" si="7"/>
        <v>sgup_attractive_05</v>
      </c>
      <c r="O94" t="s">
        <v>316</v>
      </c>
      <c r="P94" t="s">
        <v>500</v>
      </c>
      <c r="Q94" t="str">
        <f t="shared" si="5"/>
        <v>"attr5_1":"sgup_attractive_05",</v>
      </c>
    </row>
    <row r="95" spans="1:17" hidden="1" x14ac:dyDescent="0.35">
      <c r="A95">
        <v>2</v>
      </c>
      <c r="B95">
        <v>93</v>
      </c>
      <c r="C95" t="s">
        <v>501</v>
      </c>
      <c r="D95" s="6"/>
      <c r="E95" t="s">
        <v>93</v>
      </c>
      <c r="G95" t="s">
        <v>310</v>
      </c>
      <c r="H95" t="s">
        <v>398</v>
      </c>
      <c r="I95" s="1" t="s">
        <v>316</v>
      </c>
      <c r="J95" t="str">
        <f t="shared" si="6"/>
        <v>sinc5_1</v>
      </c>
      <c r="K95" t="s">
        <v>316</v>
      </c>
      <c r="L95" t="s">
        <v>317</v>
      </c>
      <c r="M95" t="s">
        <v>316</v>
      </c>
      <c r="N95" t="str">
        <f t="shared" si="7"/>
        <v>sgup_sincere_05</v>
      </c>
      <c r="O95" t="s">
        <v>316</v>
      </c>
      <c r="P95" t="s">
        <v>500</v>
      </c>
      <c r="Q95" t="str">
        <f t="shared" si="5"/>
        <v>"sinc5_1":"sgup_sincere_05",</v>
      </c>
    </row>
    <row r="96" spans="1:17" hidden="1" x14ac:dyDescent="0.35">
      <c r="A96">
        <v>2</v>
      </c>
      <c r="B96">
        <v>94</v>
      </c>
      <c r="C96" t="s">
        <v>501</v>
      </c>
      <c r="D96" s="6"/>
      <c r="E96" t="s">
        <v>94</v>
      </c>
      <c r="G96" t="s">
        <v>311</v>
      </c>
      <c r="H96" t="s">
        <v>399</v>
      </c>
      <c r="I96" s="1" t="s">
        <v>316</v>
      </c>
      <c r="J96" t="str">
        <f t="shared" si="6"/>
        <v>intel5_1</v>
      </c>
      <c r="K96" t="s">
        <v>316</v>
      </c>
      <c r="L96" t="s">
        <v>317</v>
      </c>
      <c r="M96" t="s">
        <v>316</v>
      </c>
      <c r="N96" t="str">
        <f t="shared" si="7"/>
        <v>sgup_intelligent_05</v>
      </c>
      <c r="O96" t="s">
        <v>316</v>
      </c>
      <c r="P96" t="s">
        <v>500</v>
      </c>
      <c r="Q96" t="str">
        <f t="shared" si="5"/>
        <v>"intel5_1":"sgup_intelligent_05",</v>
      </c>
    </row>
    <row r="97" spans="1:17" hidden="1" x14ac:dyDescent="0.35">
      <c r="A97">
        <v>2</v>
      </c>
      <c r="B97">
        <v>95</v>
      </c>
      <c r="C97" t="s">
        <v>501</v>
      </c>
      <c r="D97" s="6"/>
      <c r="E97" t="s">
        <v>95</v>
      </c>
      <c r="G97" t="s">
        <v>312</v>
      </c>
      <c r="H97" t="s">
        <v>400</v>
      </c>
      <c r="I97" s="1" t="s">
        <v>316</v>
      </c>
      <c r="J97" t="str">
        <f t="shared" si="6"/>
        <v>fun5_1</v>
      </c>
      <c r="K97" t="s">
        <v>316</v>
      </c>
      <c r="L97" t="s">
        <v>317</v>
      </c>
      <c r="M97" t="s">
        <v>316</v>
      </c>
      <c r="N97" t="str">
        <f t="shared" si="7"/>
        <v>sgup_fun_05</v>
      </c>
      <c r="O97" t="s">
        <v>316</v>
      </c>
      <c r="P97" t="s">
        <v>500</v>
      </c>
      <c r="Q97" t="str">
        <f t="shared" si="5"/>
        <v>"fun5_1":"sgup_fun_05",</v>
      </c>
    </row>
    <row r="98" spans="1:17" hidden="1" x14ac:dyDescent="0.35">
      <c r="A98">
        <v>2</v>
      </c>
      <c r="B98">
        <v>96</v>
      </c>
      <c r="C98" t="s">
        <v>501</v>
      </c>
      <c r="D98" s="6"/>
      <c r="E98" t="s">
        <v>96</v>
      </c>
      <c r="G98" t="s">
        <v>313</v>
      </c>
      <c r="H98" t="s">
        <v>401</v>
      </c>
      <c r="I98" s="1" t="s">
        <v>316</v>
      </c>
      <c r="J98" t="str">
        <f t="shared" si="6"/>
        <v>amb5_1</v>
      </c>
      <c r="K98" t="s">
        <v>316</v>
      </c>
      <c r="L98" t="s">
        <v>317</v>
      </c>
      <c r="M98" t="s">
        <v>316</v>
      </c>
      <c r="N98" t="str">
        <f t="shared" si="7"/>
        <v>sgup_ambitious_05</v>
      </c>
      <c r="O98" t="s">
        <v>316</v>
      </c>
      <c r="P98" t="s">
        <v>500</v>
      </c>
      <c r="Q98" t="str">
        <f t="shared" si="5"/>
        <v>"amb5_1":"sgup_ambitious_05",</v>
      </c>
    </row>
    <row r="99" spans="1:17" hidden="1" x14ac:dyDescent="0.35">
      <c r="A99">
        <v>3</v>
      </c>
      <c r="B99">
        <v>97</v>
      </c>
      <c r="C99" t="s">
        <v>502</v>
      </c>
      <c r="D99" s="11" t="s">
        <v>575</v>
      </c>
      <c r="E99" t="s">
        <v>97</v>
      </c>
      <c r="G99" t="s">
        <v>211</v>
      </c>
      <c r="H99" t="s">
        <v>402</v>
      </c>
      <c r="I99" s="1" t="s">
        <v>316</v>
      </c>
      <c r="J99" t="str">
        <f t="shared" si="6"/>
        <v>dec</v>
      </c>
      <c r="K99" t="s">
        <v>316</v>
      </c>
      <c r="L99" t="s">
        <v>317</v>
      </c>
      <c r="M99" t="s">
        <v>316</v>
      </c>
      <c r="N99" t="str">
        <f t="shared" si="7"/>
        <v>scr_decision</v>
      </c>
      <c r="O99" t="s">
        <v>316</v>
      </c>
      <c r="P99" t="s">
        <v>500</v>
      </c>
      <c r="Q99" t="str">
        <f t="shared" ref="Q99:Q162" si="8">_xlfn.CONCAT(I99,J99,K99,L99,M99,N99,O99,P99)</f>
        <v>"dec":"scr_decision",</v>
      </c>
    </row>
    <row r="100" spans="1:17" hidden="1" x14ac:dyDescent="0.35">
      <c r="A100">
        <v>3</v>
      </c>
      <c r="B100">
        <v>98</v>
      </c>
      <c r="C100" t="s">
        <v>502</v>
      </c>
      <c r="D100" s="11"/>
      <c r="E100" t="s">
        <v>98</v>
      </c>
      <c r="G100" t="s">
        <v>212</v>
      </c>
      <c r="H100" t="s">
        <v>403</v>
      </c>
      <c r="I100" s="1" t="s">
        <v>316</v>
      </c>
      <c r="J100" t="str">
        <f t="shared" si="6"/>
        <v>attr</v>
      </c>
      <c r="K100" t="s">
        <v>316</v>
      </c>
      <c r="L100" t="s">
        <v>317</v>
      </c>
      <c r="M100" t="s">
        <v>316</v>
      </c>
      <c r="N100" t="str">
        <f t="shared" si="7"/>
        <v>scr_attractive</v>
      </c>
      <c r="O100" t="s">
        <v>316</v>
      </c>
      <c r="P100" t="s">
        <v>500</v>
      </c>
      <c r="Q100" t="str">
        <f t="shared" si="8"/>
        <v>"attr":"scr_attractive",</v>
      </c>
    </row>
    <row r="101" spans="1:17" hidden="1" x14ac:dyDescent="0.35">
      <c r="A101">
        <v>3</v>
      </c>
      <c r="B101">
        <v>99</v>
      </c>
      <c r="C101" t="s">
        <v>502</v>
      </c>
      <c r="D101" s="11"/>
      <c r="E101" t="s">
        <v>99</v>
      </c>
      <c r="G101" t="s">
        <v>213</v>
      </c>
      <c r="H101" t="s">
        <v>404</v>
      </c>
      <c r="I101" s="1" t="s">
        <v>316</v>
      </c>
      <c r="J101" t="str">
        <f t="shared" si="6"/>
        <v>sinc</v>
      </c>
      <c r="K101" t="s">
        <v>316</v>
      </c>
      <c r="L101" t="s">
        <v>317</v>
      </c>
      <c r="M101" t="s">
        <v>316</v>
      </c>
      <c r="N101" t="str">
        <f t="shared" si="7"/>
        <v>scr_sincere</v>
      </c>
      <c r="O101" t="s">
        <v>316</v>
      </c>
      <c r="P101" t="s">
        <v>500</v>
      </c>
      <c r="Q101" t="str">
        <f t="shared" si="8"/>
        <v>"sinc":"scr_sincere",</v>
      </c>
    </row>
    <row r="102" spans="1:17" hidden="1" x14ac:dyDescent="0.35">
      <c r="A102">
        <v>3</v>
      </c>
      <c r="B102">
        <v>100</v>
      </c>
      <c r="C102" t="s">
        <v>502</v>
      </c>
      <c r="D102" s="11"/>
      <c r="E102" t="s">
        <v>100</v>
      </c>
      <c r="G102" t="s">
        <v>214</v>
      </c>
      <c r="H102" t="s">
        <v>405</v>
      </c>
      <c r="I102" s="1" t="s">
        <v>316</v>
      </c>
      <c r="J102" t="str">
        <f t="shared" si="6"/>
        <v>intel</v>
      </c>
      <c r="K102" t="s">
        <v>316</v>
      </c>
      <c r="L102" t="s">
        <v>317</v>
      </c>
      <c r="M102" t="s">
        <v>316</v>
      </c>
      <c r="N102" t="str">
        <f t="shared" si="7"/>
        <v>scr_intelligent</v>
      </c>
      <c r="O102" t="s">
        <v>316</v>
      </c>
      <c r="P102" t="s">
        <v>500</v>
      </c>
      <c r="Q102" t="str">
        <f t="shared" si="8"/>
        <v>"intel":"scr_intelligent",</v>
      </c>
    </row>
    <row r="103" spans="1:17" hidden="1" x14ac:dyDescent="0.35">
      <c r="A103">
        <v>3</v>
      </c>
      <c r="B103">
        <v>101</v>
      </c>
      <c r="C103" t="s">
        <v>502</v>
      </c>
      <c r="D103" s="11"/>
      <c r="E103" t="s">
        <v>101</v>
      </c>
      <c r="G103" t="s">
        <v>215</v>
      </c>
      <c r="H103" t="s">
        <v>406</v>
      </c>
      <c r="I103" s="1" t="s">
        <v>316</v>
      </c>
      <c r="J103" t="str">
        <f t="shared" si="6"/>
        <v>fun</v>
      </c>
      <c r="K103" t="s">
        <v>316</v>
      </c>
      <c r="L103" t="s">
        <v>317</v>
      </c>
      <c r="M103" t="s">
        <v>316</v>
      </c>
      <c r="N103" t="str">
        <f t="shared" si="7"/>
        <v>scr_fun</v>
      </c>
      <c r="O103" t="s">
        <v>316</v>
      </c>
      <c r="P103" t="s">
        <v>500</v>
      </c>
      <c r="Q103" t="str">
        <f t="shared" si="8"/>
        <v>"fun":"scr_fun",</v>
      </c>
    </row>
    <row r="104" spans="1:17" hidden="1" x14ac:dyDescent="0.35">
      <c r="A104">
        <v>3</v>
      </c>
      <c r="B104">
        <v>102</v>
      </c>
      <c r="C104" t="s">
        <v>502</v>
      </c>
      <c r="D104" s="11"/>
      <c r="E104" t="s">
        <v>102</v>
      </c>
      <c r="G104" t="s">
        <v>216</v>
      </c>
      <c r="H104" t="s">
        <v>407</v>
      </c>
      <c r="I104" s="1" t="s">
        <v>316</v>
      </c>
      <c r="J104" t="str">
        <f t="shared" si="6"/>
        <v>amb</v>
      </c>
      <c r="K104" t="s">
        <v>316</v>
      </c>
      <c r="L104" t="s">
        <v>317</v>
      </c>
      <c r="M104" t="s">
        <v>316</v>
      </c>
      <c r="N104" t="str">
        <f t="shared" si="7"/>
        <v>scr_ambitious</v>
      </c>
      <c r="O104" t="s">
        <v>316</v>
      </c>
      <c r="P104" t="s">
        <v>500</v>
      </c>
      <c r="Q104" t="str">
        <f t="shared" si="8"/>
        <v>"amb":"scr_ambitious",</v>
      </c>
    </row>
    <row r="105" spans="1:17" hidden="1" x14ac:dyDescent="0.35">
      <c r="A105">
        <v>3</v>
      </c>
      <c r="B105">
        <v>103</v>
      </c>
      <c r="C105" t="s">
        <v>502</v>
      </c>
      <c r="D105" s="11"/>
      <c r="E105" t="s">
        <v>103</v>
      </c>
      <c r="G105" t="s">
        <v>217</v>
      </c>
      <c r="H105" t="s">
        <v>408</v>
      </c>
      <c r="I105" s="1" t="s">
        <v>316</v>
      </c>
      <c r="J105" t="str">
        <f t="shared" si="6"/>
        <v>shar</v>
      </c>
      <c r="K105" t="s">
        <v>316</v>
      </c>
      <c r="L105" t="s">
        <v>317</v>
      </c>
      <c r="M105" t="s">
        <v>316</v>
      </c>
      <c r="N105" t="str">
        <f t="shared" si="7"/>
        <v>scr_shared_interests</v>
      </c>
      <c r="O105" t="s">
        <v>316</v>
      </c>
      <c r="P105" t="s">
        <v>500</v>
      </c>
      <c r="Q105" t="str">
        <f t="shared" si="8"/>
        <v>"shar":"scr_shared_interests",</v>
      </c>
    </row>
    <row r="106" spans="1:17" hidden="1" x14ac:dyDescent="0.35">
      <c r="A106">
        <v>3</v>
      </c>
      <c r="B106">
        <v>104</v>
      </c>
      <c r="C106" t="s">
        <v>502</v>
      </c>
      <c r="D106" s="11"/>
      <c r="E106" t="s">
        <v>104</v>
      </c>
      <c r="G106" t="s">
        <v>218</v>
      </c>
      <c r="H106" t="s">
        <v>409</v>
      </c>
      <c r="I106" s="1" t="s">
        <v>316</v>
      </c>
      <c r="J106" t="str">
        <f t="shared" si="6"/>
        <v>like</v>
      </c>
      <c r="K106" t="s">
        <v>316</v>
      </c>
      <c r="L106" t="s">
        <v>317</v>
      </c>
      <c r="M106" t="s">
        <v>316</v>
      </c>
      <c r="N106" t="str">
        <f t="shared" si="7"/>
        <v>scr_like_person</v>
      </c>
      <c r="O106" t="s">
        <v>316</v>
      </c>
      <c r="P106" t="s">
        <v>500</v>
      </c>
      <c r="Q106" t="str">
        <f t="shared" si="8"/>
        <v>"like":"scr_like_person",</v>
      </c>
    </row>
    <row r="107" spans="1:17" hidden="1" x14ac:dyDescent="0.35">
      <c r="A107">
        <v>3</v>
      </c>
      <c r="B107">
        <v>105</v>
      </c>
      <c r="C107" t="s">
        <v>502</v>
      </c>
      <c r="D107" s="11"/>
      <c r="E107" t="s">
        <v>105</v>
      </c>
      <c r="G107" t="s">
        <v>219</v>
      </c>
      <c r="H107" t="s">
        <v>410</v>
      </c>
      <c r="I107" s="1" t="s">
        <v>316</v>
      </c>
      <c r="J107" t="str">
        <f t="shared" si="6"/>
        <v>prob</v>
      </c>
      <c r="K107" t="s">
        <v>316</v>
      </c>
      <c r="L107" t="s">
        <v>317</v>
      </c>
      <c r="M107" t="s">
        <v>316</v>
      </c>
      <c r="N107" t="str">
        <f t="shared" si="7"/>
        <v>scr_probability</v>
      </c>
      <c r="O107" t="s">
        <v>316</v>
      </c>
      <c r="P107" t="s">
        <v>500</v>
      </c>
      <c r="Q107" t="str">
        <f t="shared" si="8"/>
        <v>"prob":"scr_probability",</v>
      </c>
    </row>
    <row r="108" spans="1:17" hidden="1" x14ac:dyDescent="0.35">
      <c r="A108">
        <v>3</v>
      </c>
      <c r="B108">
        <v>106</v>
      </c>
      <c r="C108" t="s">
        <v>502</v>
      </c>
      <c r="D108" s="11"/>
      <c r="E108" t="s">
        <v>106</v>
      </c>
      <c r="G108" t="s">
        <v>220</v>
      </c>
      <c r="H108" t="s">
        <v>411</v>
      </c>
      <c r="I108" s="1" t="s">
        <v>316</v>
      </c>
      <c r="J108" t="str">
        <f t="shared" si="6"/>
        <v>met</v>
      </c>
      <c r="K108" t="s">
        <v>316</v>
      </c>
      <c r="L108" t="s">
        <v>317</v>
      </c>
      <c r="M108" t="s">
        <v>316</v>
      </c>
      <c r="N108" t="str">
        <f t="shared" si="7"/>
        <v>scr_previously_met</v>
      </c>
      <c r="O108" t="s">
        <v>316</v>
      </c>
      <c r="P108" t="s">
        <v>500</v>
      </c>
      <c r="Q108" t="str">
        <f t="shared" si="8"/>
        <v>"met":"scr_previously_met",</v>
      </c>
    </row>
    <row r="109" spans="1:17" x14ac:dyDescent="0.35">
      <c r="A109">
        <v>3</v>
      </c>
      <c r="B109">
        <v>107</v>
      </c>
      <c r="C109" t="s">
        <v>502</v>
      </c>
      <c r="D109" s="11"/>
      <c r="E109" t="s">
        <v>107</v>
      </c>
      <c r="G109" t="s">
        <v>234</v>
      </c>
      <c r="H109" t="s">
        <v>412</v>
      </c>
      <c r="I109" s="1" t="s">
        <v>316</v>
      </c>
      <c r="J109" t="str">
        <f t="shared" si="6"/>
        <v>match_es</v>
      </c>
      <c r="K109" t="s">
        <v>316</v>
      </c>
      <c r="L109" t="s">
        <v>317</v>
      </c>
      <c r="M109" t="s">
        <v>316</v>
      </c>
      <c r="N109" t="str">
        <f t="shared" si="7"/>
        <v>scr_match_estimation</v>
      </c>
      <c r="O109" t="s">
        <v>316</v>
      </c>
      <c r="P109" t="s">
        <v>500</v>
      </c>
      <c r="Q109" t="str">
        <f t="shared" si="8"/>
        <v>"match_es":"scr_match_estimation",</v>
      </c>
    </row>
    <row r="110" spans="1:17" hidden="1" x14ac:dyDescent="0.35">
      <c r="A110">
        <v>3</v>
      </c>
      <c r="B110">
        <v>108</v>
      </c>
      <c r="C110" t="s">
        <v>502</v>
      </c>
      <c r="D110" s="11"/>
      <c r="E110" t="s">
        <v>108</v>
      </c>
      <c r="G110" t="s">
        <v>223</v>
      </c>
      <c r="H110" t="s">
        <v>413</v>
      </c>
      <c r="I110" s="1" t="s">
        <v>316</v>
      </c>
      <c r="J110" t="str">
        <f t="shared" si="6"/>
        <v>attr1_s</v>
      </c>
      <c r="K110" t="s">
        <v>316</v>
      </c>
      <c r="L110" t="s">
        <v>317</v>
      </c>
      <c r="M110" t="s">
        <v>316</v>
      </c>
      <c r="N110" t="str">
        <f t="shared" si="7"/>
        <v>scr_half_attractive_01</v>
      </c>
      <c r="O110" t="s">
        <v>316</v>
      </c>
      <c r="P110" t="s">
        <v>500</v>
      </c>
      <c r="Q110" t="str">
        <f t="shared" si="8"/>
        <v>"attr1_s":"scr_half_attractive_01",</v>
      </c>
    </row>
    <row r="111" spans="1:17" hidden="1" x14ac:dyDescent="0.35">
      <c r="A111">
        <v>3</v>
      </c>
      <c r="B111">
        <v>109</v>
      </c>
      <c r="C111" t="s">
        <v>502</v>
      </c>
      <c r="D111" s="11"/>
      <c r="E111" t="s">
        <v>109</v>
      </c>
      <c r="G111" t="s">
        <v>224</v>
      </c>
      <c r="H111" t="s">
        <v>414</v>
      </c>
      <c r="I111" s="1" t="s">
        <v>316</v>
      </c>
      <c r="J111" t="str">
        <f t="shared" si="6"/>
        <v>sinc1_s</v>
      </c>
      <c r="K111" t="s">
        <v>316</v>
      </c>
      <c r="L111" t="s">
        <v>317</v>
      </c>
      <c r="M111" t="s">
        <v>316</v>
      </c>
      <c r="N111" t="str">
        <f t="shared" si="7"/>
        <v>scr_half_sincere_01</v>
      </c>
      <c r="O111" t="s">
        <v>316</v>
      </c>
      <c r="P111" t="s">
        <v>500</v>
      </c>
      <c r="Q111" t="str">
        <f t="shared" si="8"/>
        <v>"sinc1_s":"scr_half_sincere_01",</v>
      </c>
    </row>
    <row r="112" spans="1:17" hidden="1" x14ac:dyDescent="0.35">
      <c r="A112">
        <v>3</v>
      </c>
      <c r="B112">
        <v>110</v>
      </c>
      <c r="C112" t="s">
        <v>502</v>
      </c>
      <c r="D112" s="11"/>
      <c r="E112" t="s">
        <v>110</v>
      </c>
      <c r="G112" t="s">
        <v>225</v>
      </c>
      <c r="H112" t="s">
        <v>415</v>
      </c>
      <c r="I112" s="1" t="s">
        <v>316</v>
      </c>
      <c r="J112" t="str">
        <f t="shared" si="6"/>
        <v>intel1_s</v>
      </c>
      <c r="K112" t="s">
        <v>316</v>
      </c>
      <c r="L112" t="s">
        <v>317</v>
      </c>
      <c r="M112" t="s">
        <v>316</v>
      </c>
      <c r="N112" t="str">
        <f t="shared" si="7"/>
        <v>scr_half_intelligent_01</v>
      </c>
      <c r="O112" t="s">
        <v>316</v>
      </c>
      <c r="P112" t="s">
        <v>500</v>
      </c>
      <c r="Q112" t="str">
        <f t="shared" si="8"/>
        <v>"intel1_s":"scr_half_intelligent_01",</v>
      </c>
    </row>
    <row r="113" spans="1:17" hidden="1" x14ac:dyDescent="0.35">
      <c r="A113">
        <v>3</v>
      </c>
      <c r="B113">
        <v>111</v>
      </c>
      <c r="C113" t="s">
        <v>502</v>
      </c>
      <c r="D113" s="11"/>
      <c r="E113" t="s">
        <v>111</v>
      </c>
      <c r="G113" t="s">
        <v>226</v>
      </c>
      <c r="H113" t="s">
        <v>416</v>
      </c>
      <c r="I113" s="1" t="s">
        <v>316</v>
      </c>
      <c r="J113" t="str">
        <f t="shared" si="6"/>
        <v>fun1_s</v>
      </c>
      <c r="K113" t="s">
        <v>316</v>
      </c>
      <c r="L113" t="s">
        <v>317</v>
      </c>
      <c r="M113" t="s">
        <v>316</v>
      </c>
      <c r="N113" t="str">
        <f t="shared" si="7"/>
        <v>scr_half_fun_01</v>
      </c>
      <c r="O113" t="s">
        <v>316</v>
      </c>
      <c r="P113" t="s">
        <v>500</v>
      </c>
      <c r="Q113" t="str">
        <f t="shared" si="8"/>
        <v>"fun1_s":"scr_half_fun_01",</v>
      </c>
    </row>
    <row r="114" spans="1:17" hidden="1" x14ac:dyDescent="0.35">
      <c r="A114">
        <v>3</v>
      </c>
      <c r="B114">
        <v>112</v>
      </c>
      <c r="C114" t="s">
        <v>502</v>
      </c>
      <c r="D114" s="11"/>
      <c r="E114" t="s">
        <v>112</v>
      </c>
      <c r="G114" t="s">
        <v>227</v>
      </c>
      <c r="H114" t="s">
        <v>417</v>
      </c>
      <c r="I114" s="1" t="s">
        <v>316</v>
      </c>
      <c r="J114" t="str">
        <f t="shared" si="6"/>
        <v>amb1_s</v>
      </c>
      <c r="K114" t="s">
        <v>316</v>
      </c>
      <c r="L114" t="s">
        <v>317</v>
      </c>
      <c r="M114" t="s">
        <v>316</v>
      </c>
      <c r="N114" t="str">
        <f t="shared" si="7"/>
        <v>scr_half_ambitious_01</v>
      </c>
      <c r="O114" t="s">
        <v>316</v>
      </c>
      <c r="P114" t="s">
        <v>500</v>
      </c>
      <c r="Q114" t="str">
        <f t="shared" si="8"/>
        <v>"amb1_s":"scr_half_ambitious_01",</v>
      </c>
    </row>
    <row r="115" spans="1:17" hidden="1" x14ac:dyDescent="0.35">
      <c r="A115">
        <v>3</v>
      </c>
      <c r="B115">
        <v>113</v>
      </c>
      <c r="C115" t="s">
        <v>502</v>
      </c>
      <c r="D115" s="11"/>
      <c r="E115" t="s">
        <v>113</v>
      </c>
      <c r="G115" t="s">
        <v>228</v>
      </c>
      <c r="H115" t="s">
        <v>418</v>
      </c>
      <c r="I115" s="1" t="s">
        <v>316</v>
      </c>
      <c r="J115" t="str">
        <f t="shared" si="6"/>
        <v>shar1_s</v>
      </c>
      <c r="K115" t="s">
        <v>316</v>
      </c>
      <c r="L115" t="s">
        <v>317</v>
      </c>
      <c r="M115" t="s">
        <v>316</v>
      </c>
      <c r="N115" t="str">
        <f t="shared" si="7"/>
        <v>scr_half_shared_interests_01</v>
      </c>
      <c r="O115" t="s">
        <v>316</v>
      </c>
      <c r="P115" t="s">
        <v>500</v>
      </c>
      <c r="Q115" t="str">
        <f t="shared" si="8"/>
        <v>"shar1_s":"scr_half_shared_interests_01",</v>
      </c>
    </row>
    <row r="116" spans="1:17" hidden="1" x14ac:dyDescent="0.35">
      <c r="A116">
        <v>3</v>
      </c>
      <c r="B116">
        <v>114</v>
      </c>
      <c r="C116" t="s">
        <v>502</v>
      </c>
      <c r="D116" s="11"/>
      <c r="E116" t="s">
        <v>114</v>
      </c>
      <c r="G116" t="s">
        <v>229</v>
      </c>
      <c r="H116" t="s">
        <v>419</v>
      </c>
      <c r="I116" s="1" t="s">
        <v>316</v>
      </c>
      <c r="J116" t="str">
        <f t="shared" si="6"/>
        <v>attr3_s</v>
      </c>
      <c r="K116" t="s">
        <v>316</v>
      </c>
      <c r="L116" t="s">
        <v>317</v>
      </c>
      <c r="M116" t="s">
        <v>316</v>
      </c>
      <c r="N116" t="str">
        <f t="shared" si="7"/>
        <v>scr_half_attractive_02</v>
      </c>
      <c r="O116" t="s">
        <v>316</v>
      </c>
      <c r="P116" t="s">
        <v>500</v>
      </c>
      <c r="Q116" t="str">
        <f t="shared" si="8"/>
        <v>"attr3_s":"scr_half_attractive_02",</v>
      </c>
    </row>
    <row r="117" spans="1:17" hidden="1" x14ac:dyDescent="0.35">
      <c r="A117">
        <v>3</v>
      </c>
      <c r="B117">
        <v>115</v>
      </c>
      <c r="C117" t="s">
        <v>502</v>
      </c>
      <c r="D117" s="11"/>
      <c r="E117" t="s">
        <v>115</v>
      </c>
      <c r="G117" t="s">
        <v>230</v>
      </c>
      <c r="H117" t="s">
        <v>420</v>
      </c>
      <c r="I117" s="1" t="s">
        <v>316</v>
      </c>
      <c r="J117" t="str">
        <f t="shared" si="6"/>
        <v>sinc3_s</v>
      </c>
      <c r="K117" t="s">
        <v>316</v>
      </c>
      <c r="L117" t="s">
        <v>317</v>
      </c>
      <c r="M117" t="s">
        <v>316</v>
      </c>
      <c r="N117" t="str">
        <f t="shared" si="7"/>
        <v>scr_half_sincere_02</v>
      </c>
      <c r="O117" t="s">
        <v>316</v>
      </c>
      <c r="P117" t="s">
        <v>500</v>
      </c>
      <c r="Q117" t="str">
        <f t="shared" si="8"/>
        <v>"sinc3_s":"scr_half_sincere_02",</v>
      </c>
    </row>
    <row r="118" spans="1:17" hidden="1" x14ac:dyDescent="0.35">
      <c r="A118">
        <v>3</v>
      </c>
      <c r="B118">
        <v>116</v>
      </c>
      <c r="C118" t="s">
        <v>502</v>
      </c>
      <c r="D118" s="11"/>
      <c r="E118" t="s">
        <v>116</v>
      </c>
      <c r="G118" t="s">
        <v>231</v>
      </c>
      <c r="H118" t="s">
        <v>421</v>
      </c>
      <c r="I118" s="1" t="s">
        <v>316</v>
      </c>
      <c r="J118" t="str">
        <f t="shared" si="6"/>
        <v>intel3_s</v>
      </c>
      <c r="K118" t="s">
        <v>316</v>
      </c>
      <c r="L118" t="s">
        <v>317</v>
      </c>
      <c r="M118" t="s">
        <v>316</v>
      </c>
      <c r="N118" t="str">
        <f t="shared" si="7"/>
        <v>scr_half_intelligent_02</v>
      </c>
      <c r="O118" t="s">
        <v>316</v>
      </c>
      <c r="P118" t="s">
        <v>500</v>
      </c>
      <c r="Q118" t="str">
        <f t="shared" si="8"/>
        <v>"intel3_s":"scr_half_intelligent_02",</v>
      </c>
    </row>
    <row r="119" spans="1:17" hidden="1" x14ac:dyDescent="0.35">
      <c r="A119">
        <v>3</v>
      </c>
      <c r="B119">
        <v>117</v>
      </c>
      <c r="C119" t="s">
        <v>502</v>
      </c>
      <c r="D119" s="11"/>
      <c r="E119" t="s">
        <v>117</v>
      </c>
      <c r="G119" t="s">
        <v>232</v>
      </c>
      <c r="H119" t="s">
        <v>422</v>
      </c>
      <c r="I119" s="1" t="s">
        <v>316</v>
      </c>
      <c r="J119" t="str">
        <f t="shared" si="6"/>
        <v>fun3_s</v>
      </c>
      <c r="K119" t="s">
        <v>316</v>
      </c>
      <c r="L119" t="s">
        <v>317</v>
      </c>
      <c r="M119" t="s">
        <v>316</v>
      </c>
      <c r="N119" t="str">
        <f t="shared" si="7"/>
        <v>scr_half_fun_02</v>
      </c>
      <c r="O119" t="s">
        <v>316</v>
      </c>
      <c r="P119" t="s">
        <v>500</v>
      </c>
      <c r="Q119" t="str">
        <f t="shared" si="8"/>
        <v>"fun3_s":"scr_half_fun_02",</v>
      </c>
    </row>
    <row r="120" spans="1:17" hidden="1" x14ac:dyDescent="0.35">
      <c r="A120">
        <v>3</v>
      </c>
      <c r="B120">
        <v>118</v>
      </c>
      <c r="C120" t="s">
        <v>502</v>
      </c>
      <c r="D120" s="11"/>
      <c r="E120" t="s">
        <v>118</v>
      </c>
      <c r="G120" t="s">
        <v>233</v>
      </c>
      <c r="H120" t="s">
        <v>423</v>
      </c>
      <c r="I120" s="1" t="s">
        <v>316</v>
      </c>
      <c r="J120" t="str">
        <f t="shared" si="6"/>
        <v>amb3_s</v>
      </c>
      <c r="K120" t="s">
        <v>316</v>
      </c>
      <c r="L120" t="s">
        <v>317</v>
      </c>
      <c r="M120" t="s">
        <v>316</v>
      </c>
      <c r="N120" t="str">
        <f t="shared" si="7"/>
        <v>scr_half_ambitious_02</v>
      </c>
      <c r="O120" t="s">
        <v>316</v>
      </c>
      <c r="P120" t="s">
        <v>500</v>
      </c>
      <c r="Q120" t="str">
        <f t="shared" si="8"/>
        <v>"amb3_s":"scr_half_ambitious_02",</v>
      </c>
    </row>
    <row r="121" spans="1:17" hidden="1" x14ac:dyDescent="0.35">
      <c r="A121">
        <v>4</v>
      </c>
      <c r="B121">
        <v>119</v>
      </c>
      <c r="C121" t="s">
        <v>503</v>
      </c>
      <c r="D121" s="12" t="s">
        <v>576</v>
      </c>
      <c r="E121" t="s">
        <v>119</v>
      </c>
      <c r="G121" t="s">
        <v>504</v>
      </c>
      <c r="H121" t="s">
        <v>424</v>
      </c>
      <c r="I121" s="1" t="s">
        <v>316</v>
      </c>
      <c r="J121" t="str">
        <f t="shared" si="6"/>
        <v>satis_2</v>
      </c>
      <c r="K121" t="s">
        <v>316</v>
      </c>
      <c r="L121" t="s">
        <v>317</v>
      </c>
      <c r="M121" t="s">
        <v>316</v>
      </c>
      <c r="N121" t="str">
        <f t="shared" si="7"/>
        <v>fwp_t2_satisfaction</v>
      </c>
      <c r="O121" t="s">
        <v>316</v>
      </c>
      <c r="P121" t="s">
        <v>500</v>
      </c>
      <c r="Q121" t="str">
        <f t="shared" si="8"/>
        <v>"satis_2":"fwp_t2_satisfaction",</v>
      </c>
    </row>
    <row r="122" spans="1:17" hidden="1" x14ac:dyDescent="0.35">
      <c r="A122">
        <v>4</v>
      </c>
      <c r="B122">
        <v>120</v>
      </c>
      <c r="C122" t="s">
        <v>503</v>
      </c>
      <c r="D122" s="12"/>
      <c r="E122" t="s">
        <v>120</v>
      </c>
      <c r="G122" t="s">
        <v>505</v>
      </c>
      <c r="H122" t="s">
        <v>425</v>
      </c>
      <c r="I122" s="1" t="s">
        <v>316</v>
      </c>
      <c r="J122" t="str">
        <f t="shared" si="6"/>
        <v>length</v>
      </c>
      <c r="K122" t="s">
        <v>316</v>
      </c>
      <c r="L122" t="s">
        <v>317</v>
      </c>
      <c r="M122" t="s">
        <v>316</v>
      </c>
      <c r="N122" t="str">
        <f t="shared" si="7"/>
        <v>fwp_t2_length</v>
      </c>
      <c r="O122" t="s">
        <v>316</v>
      </c>
      <c r="P122" t="s">
        <v>500</v>
      </c>
      <c r="Q122" t="str">
        <f t="shared" si="8"/>
        <v>"length":"fwp_t2_length",</v>
      </c>
    </row>
    <row r="123" spans="1:17" hidden="1" x14ac:dyDescent="0.35">
      <c r="A123">
        <v>4</v>
      </c>
      <c r="B123">
        <v>121</v>
      </c>
      <c r="C123" t="s">
        <v>503</v>
      </c>
      <c r="D123" s="12"/>
      <c r="E123" t="s">
        <v>121</v>
      </c>
      <c r="G123" t="s">
        <v>506</v>
      </c>
      <c r="H123" t="s">
        <v>426</v>
      </c>
      <c r="I123" s="1" t="s">
        <v>316</v>
      </c>
      <c r="J123" t="str">
        <f t="shared" si="6"/>
        <v>numdat_2</v>
      </c>
      <c r="K123" t="s">
        <v>316</v>
      </c>
      <c r="L123" t="s">
        <v>317</v>
      </c>
      <c r="M123" t="s">
        <v>316</v>
      </c>
      <c r="N123" t="str">
        <f t="shared" si="7"/>
        <v>fwp_t2_number_speed_dates</v>
      </c>
      <c r="O123" t="s">
        <v>316</v>
      </c>
      <c r="P123" t="s">
        <v>500</v>
      </c>
      <c r="Q123" t="str">
        <f t="shared" si="8"/>
        <v>"numdat_2":"fwp_t2_number_speed_dates",</v>
      </c>
    </row>
    <row r="124" spans="1:17" hidden="1" x14ac:dyDescent="0.35">
      <c r="A124">
        <v>4</v>
      </c>
      <c r="B124">
        <v>122</v>
      </c>
      <c r="C124" t="s">
        <v>503</v>
      </c>
      <c r="D124" s="12"/>
      <c r="E124" t="s">
        <v>122</v>
      </c>
      <c r="G124" t="s">
        <v>507</v>
      </c>
      <c r="H124" t="s">
        <v>427</v>
      </c>
      <c r="I124" s="1" t="s">
        <v>316</v>
      </c>
      <c r="J124" t="str">
        <f t="shared" si="6"/>
        <v>attr7_2</v>
      </c>
      <c r="K124" t="s">
        <v>316</v>
      </c>
      <c r="L124" t="s">
        <v>317</v>
      </c>
      <c r="M124" t="s">
        <v>316</v>
      </c>
      <c r="N124" t="str">
        <f t="shared" si="7"/>
        <v>fwp_t2_attractive_07</v>
      </c>
      <c r="O124" t="s">
        <v>316</v>
      </c>
      <c r="P124" t="s">
        <v>500</v>
      </c>
      <c r="Q124" t="str">
        <f t="shared" si="8"/>
        <v>"attr7_2":"fwp_t2_attractive_07",</v>
      </c>
    </row>
    <row r="125" spans="1:17" hidden="1" x14ac:dyDescent="0.35">
      <c r="A125">
        <v>4</v>
      </c>
      <c r="B125">
        <v>123</v>
      </c>
      <c r="C125" t="s">
        <v>503</v>
      </c>
      <c r="D125" s="12"/>
      <c r="E125" t="s">
        <v>123</v>
      </c>
      <c r="G125" t="s">
        <v>508</v>
      </c>
      <c r="H125" t="s">
        <v>428</v>
      </c>
      <c r="I125" s="1" t="s">
        <v>316</v>
      </c>
      <c r="J125" t="str">
        <f t="shared" si="6"/>
        <v>sinc7_2</v>
      </c>
      <c r="K125" t="s">
        <v>316</v>
      </c>
      <c r="L125" t="s">
        <v>317</v>
      </c>
      <c r="M125" t="s">
        <v>316</v>
      </c>
      <c r="N125" t="str">
        <f t="shared" si="7"/>
        <v>fwp_t2_sincere_07</v>
      </c>
      <c r="O125" t="s">
        <v>316</v>
      </c>
      <c r="P125" t="s">
        <v>500</v>
      </c>
      <c r="Q125" t="str">
        <f t="shared" si="8"/>
        <v>"sinc7_2":"fwp_t2_sincere_07",</v>
      </c>
    </row>
    <row r="126" spans="1:17" hidden="1" x14ac:dyDescent="0.35">
      <c r="A126">
        <v>4</v>
      </c>
      <c r="B126">
        <v>124</v>
      </c>
      <c r="C126" t="s">
        <v>503</v>
      </c>
      <c r="D126" s="12"/>
      <c r="E126" t="s">
        <v>124</v>
      </c>
      <c r="G126" t="s">
        <v>510</v>
      </c>
      <c r="H126" t="s">
        <v>429</v>
      </c>
      <c r="I126" s="1" t="s">
        <v>316</v>
      </c>
      <c r="J126" t="str">
        <f t="shared" si="6"/>
        <v>intel7_2</v>
      </c>
      <c r="K126" t="s">
        <v>316</v>
      </c>
      <c r="L126" t="s">
        <v>317</v>
      </c>
      <c r="M126" t="s">
        <v>316</v>
      </c>
      <c r="N126" t="str">
        <f t="shared" si="7"/>
        <v>fwp_t2_intelligent_07</v>
      </c>
      <c r="O126" t="s">
        <v>316</v>
      </c>
      <c r="P126" t="s">
        <v>500</v>
      </c>
      <c r="Q126" t="str">
        <f t="shared" si="8"/>
        <v>"intel7_2":"fwp_t2_intelligent_07",</v>
      </c>
    </row>
    <row r="127" spans="1:17" hidden="1" x14ac:dyDescent="0.35">
      <c r="A127">
        <v>4</v>
      </c>
      <c r="B127">
        <v>125</v>
      </c>
      <c r="C127" t="s">
        <v>503</v>
      </c>
      <c r="D127" s="12"/>
      <c r="E127" t="s">
        <v>125</v>
      </c>
      <c r="G127" t="s">
        <v>511</v>
      </c>
      <c r="H127" t="s">
        <v>430</v>
      </c>
      <c r="I127" s="1" t="s">
        <v>316</v>
      </c>
      <c r="J127" t="str">
        <f t="shared" si="6"/>
        <v>fun7_2</v>
      </c>
      <c r="K127" t="s">
        <v>316</v>
      </c>
      <c r="L127" t="s">
        <v>317</v>
      </c>
      <c r="M127" t="s">
        <v>316</v>
      </c>
      <c r="N127" t="str">
        <f t="shared" si="7"/>
        <v>fwp_t2_fun_07</v>
      </c>
      <c r="O127" t="s">
        <v>316</v>
      </c>
      <c r="P127" t="s">
        <v>500</v>
      </c>
      <c r="Q127" t="str">
        <f t="shared" si="8"/>
        <v>"fun7_2":"fwp_t2_fun_07",</v>
      </c>
    </row>
    <row r="128" spans="1:17" hidden="1" x14ac:dyDescent="0.35">
      <c r="A128">
        <v>4</v>
      </c>
      <c r="B128">
        <v>126</v>
      </c>
      <c r="C128" t="s">
        <v>503</v>
      </c>
      <c r="D128" s="12"/>
      <c r="E128" t="s">
        <v>126</v>
      </c>
      <c r="G128" t="s">
        <v>512</v>
      </c>
      <c r="H128" t="s">
        <v>431</v>
      </c>
      <c r="I128" s="1" t="s">
        <v>316</v>
      </c>
      <c r="J128" t="str">
        <f t="shared" si="6"/>
        <v>amb7_2</v>
      </c>
      <c r="K128" t="s">
        <v>316</v>
      </c>
      <c r="L128" t="s">
        <v>317</v>
      </c>
      <c r="M128" t="s">
        <v>316</v>
      </c>
      <c r="N128" t="str">
        <f t="shared" si="7"/>
        <v>fwp_t2_ambitious_07</v>
      </c>
      <c r="O128" t="s">
        <v>316</v>
      </c>
      <c r="P128" t="s">
        <v>500</v>
      </c>
      <c r="Q128" t="str">
        <f t="shared" si="8"/>
        <v>"amb7_2":"fwp_t2_ambitious_07",</v>
      </c>
    </row>
    <row r="129" spans="1:17" hidden="1" x14ac:dyDescent="0.35">
      <c r="A129">
        <v>4</v>
      </c>
      <c r="B129">
        <v>127</v>
      </c>
      <c r="C129" t="s">
        <v>503</v>
      </c>
      <c r="D129" s="12"/>
      <c r="E129" t="s">
        <v>127</v>
      </c>
      <c r="G129" t="s">
        <v>513</v>
      </c>
      <c r="H129" t="s">
        <v>432</v>
      </c>
      <c r="I129" s="1" t="s">
        <v>316</v>
      </c>
      <c r="J129" t="str">
        <f t="shared" si="6"/>
        <v>shar7_2</v>
      </c>
      <c r="K129" t="s">
        <v>316</v>
      </c>
      <c r="L129" t="s">
        <v>317</v>
      </c>
      <c r="M129" t="s">
        <v>316</v>
      </c>
      <c r="N129" t="str">
        <f t="shared" si="7"/>
        <v>fwp_t2_shared_interests_07</v>
      </c>
      <c r="O129" t="s">
        <v>316</v>
      </c>
      <c r="P129" t="s">
        <v>500</v>
      </c>
      <c r="Q129" t="str">
        <f t="shared" si="8"/>
        <v>"shar7_2":"fwp_t2_shared_interests_07",</v>
      </c>
    </row>
    <row r="130" spans="1:17" hidden="1" x14ac:dyDescent="0.35">
      <c r="A130">
        <v>4</v>
      </c>
      <c r="B130">
        <v>128</v>
      </c>
      <c r="C130" t="s">
        <v>503</v>
      </c>
      <c r="D130" s="12"/>
      <c r="E130" t="s">
        <v>128</v>
      </c>
      <c r="G130" t="s">
        <v>514</v>
      </c>
      <c r="H130" t="s">
        <v>433</v>
      </c>
      <c r="I130" s="1" t="s">
        <v>316</v>
      </c>
      <c r="J130" t="str">
        <f t="shared" si="6"/>
        <v>attr1_2</v>
      </c>
      <c r="K130" t="s">
        <v>316</v>
      </c>
      <c r="L130" t="s">
        <v>317</v>
      </c>
      <c r="M130" t="s">
        <v>316</v>
      </c>
      <c r="N130" t="str">
        <f t="shared" si="7"/>
        <v>fwp_t2_attractive_01</v>
      </c>
      <c r="O130" t="s">
        <v>316</v>
      </c>
      <c r="P130" t="s">
        <v>500</v>
      </c>
      <c r="Q130" t="str">
        <f t="shared" si="8"/>
        <v>"attr1_2":"fwp_t2_attractive_01",</v>
      </c>
    </row>
    <row r="131" spans="1:17" hidden="1" x14ac:dyDescent="0.35">
      <c r="A131">
        <v>4</v>
      </c>
      <c r="B131">
        <v>129</v>
      </c>
      <c r="C131" t="s">
        <v>503</v>
      </c>
      <c r="D131" s="12"/>
      <c r="E131" t="s">
        <v>129</v>
      </c>
      <c r="G131" t="s">
        <v>515</v>
      </c>
      <c r="H131" t="s">
        <v>434</v>
      </c>
      <c r="I131" s="1" t="s">
        <v>316</v>
      </c>
      <c r="J131" t="str">
        <f t="shared" ref="J131:J194" si="9">E131</f>
        <v>sinc1_2</v>
      </c>
      <c r="K131" t="s">
        <v>316</v>
      </c>
      <c r="L131" t="s">
        <v>317</v>
      </c>
      <c r="M131" t="s">
        <v>316</v>
      </c>
      <c r="N131" t="str">
        <f t="shared" ref="N131:N194" si="10">G131</f>
        <v>fwp_t2_sincere_01</v>
      </c>
      <c r="O131" t="s">
        <v>316</v>
      </c>
      <c r="P131" t="s">
        <v>500</v>
      </c>
      <c r="Q131" t="str">
        <f t="shared" si="8"/>
        <v>"sinc1_2":"fwp_t2_sincere_01",</v>
      </c>
    </row>
    <row r="132" spans="1:17" hidden="1" x14ac:dyDescent="0.35">
      <c r="A132">
        <v>4</v>
      </c>
      <c r="B132">
        <v>130</v>
      </c>
      <c r="C132" t="s">
        <v>503</v>
      </c>
      <c r="D132" s="12"/>
      <c r="E132" t="s">
        <v>130</v>
      </c>
      <c r="G132" t="s">
        <v>516</v>
      </c>
      <c r="H132" t="s">
        <v>435</v>
      </c>
      <c r="I132" s="1" t="s">
        <v>316</v>
      </c>
      <c r="J132" t="str">
        <f t="shared" si="9"/>
        <v>intel1_2</v>
      </c>
      <c r="K132" t="s">
        <v>316</v>
      </c>
      <c r="L132" t="s">
        <v>317</v>
      </c>
      <c r="M132" t="s">
        <v>316</v>
      </c>
      <c r="N132" t="str">
        <f t="shared" si="10"/>
        <v>fwp_t2_intelligen_01</v>
      </c>
      <c r="O132" t="s">
        <v>316</v>
      </c>
      <c r="P132" t="s">
        <v>500</v>
      </c>
      <c r="Q132" t="str">
        <f t="shared" si="8"/>
        <v>"intel1_2":"fwp_t2_intelligen_01",</v>
      </c>
    </row>
    <row r="133" spans="1:17" hidden="1" x14ac:dyDescent="0.35">
      <c r="A133">
        <v>4</v>
      </c>
      <c r="B133">
        <v>131</v>
      </c>
      <c r="C133" t="s">
        <v>503</v>
      </c>
      <c r="D133" s="12"/>
      <c r="E133" t="s">
        <v>131</v>
      </c>
      <c r="G133" t="s">
        <v>517</v>
      </c>
      <c r="H133" t="s">
        <v>436</v>
      </c>
      <c r="I133" s="1" t="s">
        <v>316</v>
      </c>
      <c r="J133" t="str">
        <f t="shared" si="9"/>
        <v>fun1_2</v>
      </c>
      <c r="K133" t="s">
        <v>316</v>
      </c>
      <c r="L133" t="s">
        <v>317</v>
      </c>
      <c r="M133" t="s">
        <v>316</v>
      </c>
      <c r="N133" t="str">
        <f t="shared" si="10"/>
        <v>fwp_t2_fun_01</v>
      </c>
      <c r="O133" t="s">
        <v>316</v>
      </c>
      <c r="P133" t="s">
        <v>500</v>
      </c>
      <c r="Q133" t="str">
        <f t="shared" si="8"/>
        <v>"fun1_2":"fwp_t2_fun_01",</v>
      </c>
    </row>
    <row r="134" spans="1:17" hidden="1" x14ac:dyDescent="0.35">
      <c r="A134">
        <v>4</v>
      </c>
      <c r="B134">
        <v>132</v>
      </c>
      <c r="C134" t="s">
        <v>503</v>
      </c>
      <c r="D134" s="12"/>
      <c r="E134" t="s">
        <v>132</v>
      </c>
      <c r="G134" t="s">
        <v>518</v>
      </c>
      <c r="H134" t="s">
        <v>437</v>
      </c>
      <c r="I134" s="1" t="s">
        <v>316</v>
      </c>
      <c r="J134" t="str">
        <f t="shared" si="9"/>
        <v>amb1_2</v>
      </c>
      <c r="K134" t="s">
        <v>316</v>
      </c>
      <c r="L134" t="s">
        <v>317</v>
      </c>
      <c r="M134" t="s">
        <v>316</v>
      </c>
      <c r="N134" t="str">
        <f t="shared" si="10"/>
        <v>fwp_t2_ambitious_01</v>
      </c>
      <c r="O134" t="s">
        <v>316</v>
      </c>
      <c r="P134" t="s">
        <v>500</v>
      </c>
      <c r="Q134" t="str">
        <f t="shared" si="8"/>
        <v>"amb1_2":"fwp_t2_ambitious_01",</v>
      </c>
    </row>
    <row r="135" spans="1:17" hidden="1" x14ac:dyDescent="0.35">
      <c r="A135">
        <v>4</v>
      </c>
      <c r="B135">
        <v>133</v>
      </c>
      <c r="C135" t="s">
        <v>503</v>
      </c>
      <c r="D135" s="12"/>
      <c r="E135" t="s">
        <v>133</v>
      </c>
      <c r="G135" t="s">
        <v>519</v>
      </c>
      <c r="H135" t="s">
        <v>438</v>
      </c>
      <c r="I135" s="1" t="s">
        <v>316</v>
      </c>
      <c r="J135" t="str">
        <f t="shared" si="9"/>
        <v>shar1_2</v>
      </c>
      <c r="K135" t="s">
        <v>316</v>
      </c>
      <c r="L135" t="s">
        <v>317</v>
      </c>
      <c r="M135" t="s">
        <v>316</v>
      </c>
      <c r="N135" t="str">
        <f t="shared" si="10"/>
        <v>fwp_t2_shared_interests_01</v>
      </c>
      <c r="O135" t="s">
        <v>316</v>
      </c>
      <c r="P135" t="s">
        <v>500</v>
      </c>
      <c r="Q135" t="str">
        <f t="shared" si="8"/>
        <v>"shar1_2":"fwp_t2_shared_interests_01",</v>
      </c>
    </row>
    <row r="136" spans="1:17" hidden="1" x14ac:dyDescent="0.35">
      <c r="A136">
        <v>4</v>
      </c>
      <c r="B136">
        <v>134</v>
      </c>
      <c r="C136" t="s">
        <v>503</v>
      </c>
      <c r="D136" s="12"/>
      <c r="E136" t="s">
        <v>134</v>
      </c>
      <c r="G136" t="s">
        <v>520</v>
      </c>
      <c r="H136" t="s">
        <v>439</v>
      </c>
      <c r="I136" s="1" t="s">
        <v>316</v>
      </c>
      <c r="J136" t="str">
        <f t="shared" si="9"/>
        <v>attr4_2</v>
      </c>
      <c r="K136" t="s">
        <v>316</v>
      </c>
      <c r="L136" t="s">
        <v>317</v>
      </c>
      <c r="M136" t="s">
        <v>316</v>
      </c>
      <c r="N136" t="str">
        <f t="shared" si="10"/>
        <v>fwp_t2_attractive_04</v>
      </c>
      <c r="O136" t="s">
        <v>316</v>
      </c>
      <c r="P136" t="s">
        <v>500</v>
      </c>
      <c r="Q136" t="str">
        <f t="shared" si="8"/>
        <v>"attr4_2":"fwp_t2_attractive_04",</v>
      </c>
    </row>
    <row r="137" spans="1:17" hidden="1" x14ac:dyDescent="0.35">
      <c r="A137">
        <v>4</v>
      </c>
      <c r="B137">
        <v>135</v>
      </c>
      <c r="C137" t="s">
        <v>503</v>
      </c>
      <c r="D137" s="12"/>
      <c r="E137" t="s">
        <v>135</v>
      </c>
      <c r="G137" t="s">
        <v>521</v>
      </c>
      <c r="H137" t="s">
        <v>440</v>
      </c>
      <c r="I137" s="1" t="s">
        <v>316</v>
      </c>
      <c r="J137" t="str">
        <f t="shared" si="9"/>
        <v>sinc4_2</v>
      </c>
      <c r="K137" t="s">
        <v>316</v>
      </c>
      <c r="L137" t="s">
        <v>317</v>
      </c>
      <c r="M137" t="s">
        <v>316</v>
      </c>
      <c r="N137" t="str">
        <f t="shared" si="10"/>
        <v>fwp_t2_sincere_04</v>
      </c>
      <c r="O137" t="s">
        <v>316</v>
      </c>
      <c r="P137" t="s">
        <v>500</v>
      </c>
      <c r="Q137" t="str">
        <f t="shared" si="8"/>
        <v>"sinc4_2":"fwp_t2_sincere_04",</v>
      </c>
    </row>
    <row r="138" spans="1:17" hidden="1" x14ac:dyDescent="0.35">
      <c r="A138">
        <v>4</v>
      </c>
      <c r="B138">
        <v>136</v>
      </c>
      <c r="C138" t="s">
        <v>503</v>
      </c>
      <c r="D138" s="12"/>
      <c r="E138" t="s">
        <v>136</v>
      </c>
      <c r="G138" t="s">
        <v>522</v>
      </c>
      <c r="H138" t="s">
        <v>441</v>
      </c>
      <c r="I138" s="1" t="s">
        <v>316</v>
      </c>
      <c r="J138" t="str">
        <f t="shared" si="9"/>
        <v>intel4_2</v>
      </c>
      <c r="K138" t="s">
        <v>316</v>
      </c>
      <c r="L138" t="s">
        <v>317</v>
      </c>
      <c r="M138" t="s">
        <v>316</v>
      </c>
      <c r="N138" t="str">
        <f t="shared" si="10"/>
        <v>fwp_t2_intelligent_04</v>
      </c>
      <c r="O138" t="s">
        <v>316</v>
      </c>
      <c r="P138" t="s">
        <v>500</v>
      </c>
      <c r="Q138" t="str">
        <f t="shared" si="8"/>
        <v>"intel4_2":"fwp_t2_intelligent_04",</v>
      </c>
    </row>
    <row r="139" spans="1:17" hidden="1" x14ac:dyDescent="0.35">
      <c r="A139">
        <v>4</v>
      </c>
      <c r="B139">
        <v>137</v>
      </c>
      <c r="C139" t="s">
        <v>503</v>
      </c>
      <c r="D139" s="12"/>
      <c r="E139" t="s">
        <v>137</v>
      </c>
      <c r="G139" t="s">
        <v>523</v>
      </c>
      <c r="H139" t="s">
        <v>442</v>
      </c>
      <c r="I139" s="1" t="s">
        <v>316</v>
      </c>
      <c r="J139" t="str">
        <f t="shared" si="9"/>
        <v>fun4_2</v>
      </c>
      <c r="K139" t="s">
        <v>316</v>
      </c>
      <c r="L139" t="s">
        <v>317</v>
      </c>
      <c r="M139" t="s">
        <v>316</v>
      </c>
      <c r="N139" t="str">
        <f t="shared" si="10"/>
        <v>fwp_t2_fun_04</v>
      </c>
      <c r="O139" t="s">
        <v>316</v>
      </c>
      <c r="P139" t="s">
        <v>500</v>
      </c>
      <c r="Q139" t="str">
        <f t="shared" si="8"/>
        <v>"fun4_2":"fwp_t2_fun_04",</v>
      </c>
    </row>
    <row r="140" spans="1:17" hidden="1" x14ac:dyDescent="0.35">
      <c r="A140">
        <v>4</v>
      </c>
      <c r="B140">
        <v>138</v>
      </c>
      <c r="C140" t="s">
        <v>503</v>
      </c>
      <c r="D140" s="12"/>
      <c r="E140" t="s">
        <v>138</v>
      </c>
      <c r="G140" t="s">
        <v>524</v>
      </c>
      <c r="H140" t="s">
        <v>443</v>
      </c>
      <c r="I140" s="1" t="s">
        <v>316</v>
      </c>
      <c r="J140" t="str">
        <f t="shared" si="9"/>
        <v>amb4_2</v>
      </c>
      <c r="K140" t="s">
        <v>316</v>
      </c>
      <c r="L140" t="s">
        <v>317</v>
      </c>
      <c r="M140" t="s">
        <v>316</v>
      </c>
      <c r="N140" t="str">
        <f t="shared" si="10"/>
        <v>fwp_t2_ambitious_04</v>
      </c>
      <c r="O140" t="s">
        <v>316</v>
      </c>
      <c r="P140" t="s">
        <v>500</v>
      </c>
      <c r="Q140" t="str">
        <f t="shared" si="8"/>
        <v>"amb4_2":"fwp_t2_ambitious_04",</v>
      </c>
    </row>
    <row r="141" spans="1:17" hidden="1" x14ac:dyDescent="0.35">
      <c r="A141">
        <v>4</v>
      </c>
      <c r="B141">
        <v>139</v>
      </c>
      <c r="C141" t="s">
        <v>503</v>
      </c>
      <c r="D141" s="12"/>
      <c r="E141" t="s">
        <v>139</v>
      </c>
      <c r="G141" t="s">
        <v>525</v>
      </c>
      <c r="H141" t="s">
        <v>444</v>
      </c>
      <c r="I141" s="1" t="s">
        <v>316</v>
      </c>
      <c r="J141" t="str">
        <f t="shared" si="9"/>
        <v>shar4_2</v>
      </c>
      <c r="K141" t="s">
        <v>316</v>
      </c>
      <c r="L141" t="s">
        <v>317</v>
      </c>
      <c r="M141" t="s">
        <v>316</v>
      </c>
      <c r="N141" t="str">
        <f t="shared" si="10"/>
        <v>fwp_t2_shared_interests_04</v>
      </c>
      <c r="O141" t="s">
        <v>316</v>
      </c>
      <c r="P141" t="s">
        <v>500</v>
      </c>
      <c r="Q141" t="str">
        <f t="shared" si="8"/>
        <v>"shar4_2":"fwp_t2_shared_interests_04",</v>
      </c>
    </row>
    <row r="142" spans="1:17" hidden="1" x14ac:dyDescent="0.35">
      <c r="A142">
        <v>4</v>
      </c>
      <c r="B142">
        <v>140</v>
      </c>
      <c r="C142" t="s">
        <v>503</v>
      </c>
      <c r="D142" s="12"/>
      <c r="E142" t="s">
        <v>140</v>
      </c>
      <c r="G142" t="s">
        <v>526</v>
      </c>
      <c r="H142" t="s">
        <v>445</v>
      </c>
      <c r="I142" s="1" t="s">
        <v>316</v>
      </c>
      <c r="J142" t="str">
        <f t="shared" si="9"/>
        <v>attr2_2</v>
      </c>
      <c r="K142" t="s">
        <v>316</v>
      </c>
      <c r="L142" t="s">
        <v>317</v>
      </c>
      <c r="M142" t="s">
        <v>316</v>
      </c>
      <c r="N142" t="str">
        <f t="shared" si="10"/>
        <v>fwp_t2_attractive_02</v>
      </c>
      <c r="O142" t="s">
        <v>316</v>
      </c>
      <c r="P142" t="s">
        <v>500</v>
      </c>
      <c r="Q142" t="str">
        <f t="shared" si="8"/>
        <v>"attr2_2":"fwp_t2_attractive_02",</v>
      </c>
    </row>
    <row r="143" spans="1:17" hidden="1" x14ac:dyDescent="0.35">
      <c r="A143">
        <v>4</v>
      </c>
      <c r="B143">
        <v>141</v>
      </c>
      <c r="C143" t="s">
        <v>503</v>
      </c>
      <c r="D143" s="12"/>
      <c r="E143" t="s">
        <v>141</v>
      </c>
      <c r="G143" t="s">
        <v>527</v>
      </c>
      <c r="H143" t="s">
        <v>446</v>
      </c>
      <c r="I143" s="1" t="s">
        <v>316</v>
      </c>
      <c r="J143" t="str">
        <f t="shared" si="9"/>
        <v>sinc2_2</v>
      </c>
      <c r="K143" t="s">
        <v>316</v>
      </c>
      <c r="L143" t="s">
        <v>317</v>
      </c>
      <c r="M143" t="s">
        <v>316</v>
      </c>
      <c r="N143" t="str">
        <f t="shared" si="10"/>
        <v>fwp_t2_sincere_02</v>
      </c>
      <c r="O143" t="s">
        <v>316</v>
      </c>
      <c r="P143" t="s">
        <v>500</v>
      </c>
      <c r="Q143" t="str">
        <f t="shared" si="8"/>
        <v>"sinc2_2":"fwp_t2_sincere_02",</v>
      </c>
    </row>
    <row r="144" spans="1:17" hidden="1" x14ac:dyDescent="0.35">
      <c r="A144">
        <v>4</v>
      </c>
      <c r="B144">
        <v>142</v>
      </c>
      <c r="C144" t="s">
        <v>503</v>
      </c>
      <c r="D144" s="12"/>
      <c r="E144" t="s">
        <v>142</v>
      </c>
      <c r="G144" t="s">
        <v>528</v>
      </c>
      <c r="H144" t="s">
        <v>447</v>
      </c>
      <c r="I144" s="1" t="s">
        <v>316</v>
      </c>
      <c r="J144" t="str">
        <f t="shared" si="9"/>
        <v>intel2_2</v>
      </c>
      <c r="K144" t="s">
        <v>316</v>
      </c>
      <c r="L144" t="s">
        <v>317</v>
      </c>
      <c r="M144" t="s">
        <v>316</v>
      </c>
      <c r="N144" t="str">
        <f t="shared" si="10"/>
        <v>fwp_t2_intelligent_02</v>
      </c>
      <c r="O144" t="s">
        <v>316</v>
      </c>
      <c r="P144" t="s">
        <v>500</v>
      </c>
      <c r="Q144" t="str">
        <f t="shared" si="8"/>
        <v>"intel2_2":"fwp_t2_intelligent_02",</v>
      </c>
    </row>
    <row r="145" spans="1:17" hidden="1" x14ac:dyDescent="0.35">
      <c r="A145">
        <v>4</v>
      </c>
      <c r="B145">
        <v>143</v>
      </c>
      <c r="C145" t="s">
        <v>503</v>
      </c>
      <c r="D145" s="12"/>
      <c r="E145" t="s">
        <v>143</v>
      </c>
      <c r="G145" t="s">
        <v>529</v>
      </c>
      <c r="H145" t="s">
        <v>448</v>
      </c>
      <c r="I145" s="1" t="s">
        <v>316</v>
      </c>
      <c r="J145" t="str">
        <f t="shared" si="9"/>
        <v>fun2_2</v>
      </c>
      <c r="K145" t="s">
        <v>316</v>
      </c>
      <c r="L145" t="s">
        <v>317</v>
      </c>
      <c r="M145" t="s">
        <v>316</v>
      </c>
      <c r="N145" t="str">
        <f t="shared" si="10"/>
        <v>fwp_t2_fun_02</v>
      </c>
      <c r="O145" t="s">
        <v>316</v>
      </c>
      <c r="P145" t="s">
        <v>500</v>
      </c>
      <c r="Q145" t="str">
        <f t="shared" si="8"/>
        <v>"fun2_2":"fwp_t2_fun_02",</v>
      </c>
    </row>
    <row r="146" spans="1:17" hidden="1" x14ac:dyDescent="0.35">
      <c r="A146">
        <v>4</v>
      </c>
      <c r="B146">
        <v>144</v>
      </c>
      <c r="C146" t="s">
        <v>503</v>
      </c>
      <c r="D146" s="12"/>
      <c r="E146" t="s">
        <v>144</v>
      </c>
      <c r="G146" t="s">
        <v>530</v>
      </c>
      <c r="H146" t="s">
        <v>449</v>
      </c>
      <c r="I146" s="1" t="s">
        <v>316</v>
      </c>
      <c r="J146" t="str">
        <f t="shared" si="9"/>
        <v>amb2_2</v>
      </c>
      <c r="K146" t="s">
        <v>316</v>
      </c>
      <c r="L146" t="s">
        <v>317</v>
      </c>
      <c r="M146" t="s">
        <v>316</v>
      </c>
      <c r="N146" t="str">
        <f t="shared" si="10"/>
        <v>fwp_t2_ambitious_02</v>
      </c>
      <c r="O146" t="s">
        <v>316</v>
      </c>
      <c r="P146" t="s">
        <v>500</v>
      </c>
      <c r="Q146" t="str">
        <f t="shared" si="8"/>
        <v>"amb2_2":"fwp_t2_ambitious_02",</v>
      </c>
    </row>
    <row r="147" spans="1:17" hidden="1" x14ac:dyDescent="0.35">
      <c r="A147">
        <v>4</v>
      </c>
      <c r="B147">
        <v>145</v>
      </c>
      <c r="C147" t="s">
        <v>503</v>
      </c>
      <c r="D147" s="12"/>
      <c r="E147" t="s">
        <v>145</v>
      </c>
      <c r="G147" t="s">
        <v>531</v>
      </c>
      <c r="H147" t="s">
        <v>450</v>
      </c>
      <c r="I147" s="1" t="s">
        <v>316</v>
      </c>
      <c r="J147" t="str">
        <f t="shared" si="9"/>
        <v>shar2_2</v>
      </c>
      <c r="K147" t="s">
        <v>316</v>
      </c>
      <c r="L147" t="s">
        <v>317</v>
      </c>
      <c r="M147" t="s">
        <v>316</v>
      </c>
      <c r="N147" t="str">
        <f t="shared" si="10"/>
        <v>fwp_t2_shared_interests_02</v>
      </c>
      <c r="O147" t="s">
        <v>316</v>
      </c>
      <c r="P147" t="s">
        <v>500</v>
      </c>
      <c r="Q147" t="str">
        <f t="shared" si="8"/>
        <v>"shar2_2":"fwp_t2_shared_interests_02",</v>
      </c>
    </row>
    <row r="148" spans="1:17" hidden="1" x14ac:dyDescent="0.35">
      <c r="A148">
        <v>4</v>
      </c>
      <c r="B148">
        <v>146</v>
      </c>
      <c r="C148" t="s">
        <v>503</v>
      </c>
      <c r="D148" s="12"/>
      <c r="E148" t="s">
        <v>146</v>
      </c>
      <c r="G148" t="s">
        <v>532</v>
      </c>
      <c r="H148" t="s">
        <v>451</v>
      </c>
      <c r="I148" s="1" t="s">
        <v>316</v>
      </c>
      <c r="J148" t="str">
        <f t="shared" si="9"/>
        <v>attr3_2</v>
      </c>
      <c r="K148" t="s">
        <v>316</v>
      </c>
      <c r="L148" t="s">
        <v>317</v>
      </c>
      <c r="M148" t="s">
        <v>316</v>
      </c>
      <c r="N148" t="str">
        <f t="shared" si="10"/>
        <v>fwp_t2_attractive_03</v>
      </c>
      <c r="O148" t="s">
        <v>316</v>
      </c>
      <c r="P148" t="s">
        <v>500</v>
      </c>
      <c r="Q148" t="str">
        <f t="shared" si="8"/>
        <v>"attr3_2":"fwp_t2_attractive_03",</v>
      </c>
    </row>
    <row r="149" spans="1:17" hidden="1" x14ac:dyDescent="0.35">
      <c r="A149">
        <v>4</v>
      </c>
      <c r="B149">
        <v>147</v>
      </c>
      <c r="C149" t="s">
        <v>503</v>
      </c>
      <c r="D149" s="12"/>
      <c r="E149" t="s">
        <v>147</v>
      </c>
      <c r="G149" t="s">
        <v>533</v>
      </c>
      <c r="H149" t="s">
        <v>452</v>
      </c>
      <c r="I149" s="1" t="s">
        <v>316</v>
      </c>
      <c r="J149" t="str">
        <f t="shared" si="9"/>
        <v>sinc3_2</v>
      </c>
      <c r="K149" t="s">
        <v>316</v>
      </c>
      <c r="L149" t="s">
        <v>317</v>
      </c>
      <c r="M149" t="s">
        <v>316</v>
      </c>
      <c r="N149" t="str">
        <f t="shared" si="10"/>
        <v>fwp_t2_sincere_03</v>
      </c>
      <c r="O149" t="s">
        <v>316</v>
      </c>
      <c r="P149" t="s">
        <v>500</v>
      </c>
      <c r="Q149" t="str">
        <f t="shared" si="8"/>
        <v>"sinc3_2":"fwp_t2_sincere_03",</v>
      </c>
    </row>
    <row r="150" spans="1:17" hidden="1" x14ac:dyDescent="0.35">
      <c r="A150">
        <v>4</v>
      </c>
      <c r="B150">
        <v>148</v>
      </c>
      <c r="C150" t="s">
        <v>503</v>
      </c>
      <c r="D150" s="12"/>
      <c r="E150" t="s">
        <v>148</v>
      </c>
      <c r="G150" t="s">
        <v>534</v>
      </c>
      <c r="H150" t="s">
        <v>453</v>
      </c>
      <c r="I150" s="1" t="s">
        <v>316</v>
      </c>
      <c r="J150" t="str">
        <f t="shared" si="9"/>
        <v>intel3_2</v>
      </c>
      <c r="K150" t="s">
        <v>316</v>
      </c>
      <c r="L150" t="s">
        <v>317</v>
      </c>
      <c r="M150" t="s">
        <v>316</v>
      </c>
      <c r="N150" t="str">
        <f t="shared" si="10"/>
        <v>fwp_t2_intelligent_03</v>
      </c>
      <c r="O150" t="s">
        <v>316</v>
      </c>
      <c r="P150" t="s">
        <v>500</v>
      </c>
      <c r="Q150" t="str">
        <f t="shared" si="8"/>
        <v>"intel3_2":"fwp_t2_intelligent_03",</v>
      </c>
    </row>
    <row r="151" spans="1:17" hidden="1" x14ac:dyDescent="0.35">
      <c r="A151">
        <v>4</v>
      </c>
      <c r="B151">
        <v>149</v>
      </c>
      <c r="C151" t="s">
        <v>503</v>
      </c>
      <c r="D151" s="12"/>
      <c r="E151" t="s">
        <v>149</v>
      </c>
      <c r="G151" t="s">
        <v>535</v>
      </c>
      <c r="H151" t="s">
        <v>454</v>
      </c>
      <c r="I151" s="1" t="s">
        <v>316</v>
      </c>
      <c r="J151" t="str">
        <f t="shared" si="9"/>
        <v>fun3_2</v>
      </c>
      <c r="K151" t="s">
        <v>316</v>
      </c>
      <c r="L151" t="s">
        <v>317</v>
      </c>
      <c r="M151" t="s">
        <v>316</v>
      </c>
      <c r="N151" t="str">
        <f t="shared" si="10"/>
        <v>fwp_t2_fun_03</v>
      </c>
      <c r="O151" t="s">
        <v>316</v>
      </c>
      <c r="P151" t="s">
        <v>500</v>
      </c>
      <c r="Q151" t="str">
        <f t="shared" si="8"/>
        <v>"fun3_2":"fwp_t2_fun_03",</v>
      </c>
    </row>
    <row r="152" spans="1:17" hidden="1" x14ac:dyDescent="0.35">
      <c r="A152">
        <v>4</v>
      </c>
      <c r="B152">
        <v>150</v>
      </c>
      <c r="C152" t="s">
        <v>503</v>
      </c>
      <c r="D152" s="12"/>
      <c r="E152" t="s">
        <v>150</v>
      </c>
      <c r="G152" t="s">
        <v>536</v>
      </c>
      <c r="H152" t="s">
        <v>455</v>
      </c>
      <c r="I152" s="1" t="s">
        <v>316</v>
      </c>
      <c r="J152" t="str">
        <f t="shared" si="9"/>
        <v>amb3_2</v>
      </c>
      <c r="K152" t="s">
        <v>316</v>
      </c>
      <c r="L152" t="s">
        <v>317</v>
      </c>
      <c r="M152" t="s">
        <v>316</v>
      </c>
      <c r="N152" t="str">
        <f t="shared" si="10"/>
        <v>fwp_t2_ambitious_03</v>
      </c>
      <c r="O152" t="s">
        <v>316</v>
      </c>
      <c r="P152" t="s">
        <v>500</v>
      </c>
      <c r="Q152" t="str">
        <f t="shared" si="8"/>
        <v>"amb3_2":"fwp_t2_ambitious_03",</v>
      </c>
    </row>
    <row r="153" spans="1:17" hidden="1" x14ac:dyDescent="0.35">
      <c r="A153">
        <v>4</v>
      </c>
      <c r="B153">
        <v>151</v>
      </c>
      <c r="C153" t="s">
        <v>503</v>
      </c>
      <c r="D153" s="12"/>
      <c r="E153" t="s">
        <v>151</v>
      </c>
      <c r="G153" t="s">
        <v>537</v>
      </c>
      <c r="H153" t="s">
        <v>456</v>
      </c>
      <c r="I153" s="1" t="s">
        <v>316</v>
      </c>
      <c r="J153" t="str">
        <f t="shared" si="9"/>
        <v>attr5_2</v>
      </c>
      <c r="K153" t="s">
        <v>316</v>
      </c>
      <c r="L153" t="s">
        <v>317</v>
      </c>
      <c r="M153" t="s">
        <v>316</v>
      </c>
      <c r="N153" t="str">
        <f t="shared" si="10"/>
        <v>fwp_t2_attractive_05</v>
      </c>
      <c r="O153" t="s">
        <v>316</v>
      </c>
      <c r="P153" t="s">
        <v>500</v>
      </c>
      <c r="Q153" t="str">
        <f t="shared" si="8"/>
        <v>"attr5_2":"fwp_t2_attractive_05",</v>
      </c>
    </row>
    <row r="154" spans="1:17" hidden="1" x14ac:dyDescent="0.35">
      <c r="A154">
        <v>4</v>
      </c>
      <c r="B154">
        <v>152</v>
      </c>
      <c r="C154" t="s">
        <v>503</v>
      </c>
      <c r="D154" s="12"/>
      <c r="E154" t="s">
        <v>152</v>
      </c>
      <c r="G154" t="s">
        <v>538</v>
      </c>
      <c r="H154" t="s">
        <v>457</v>
      </c>
      <c r="I154" s="1" t="s">
        <v>316</v>
      </c>
      <c r="J154" t="str">
        <f t="shared" si="9"/>
        <v>sinc5_2</v>
      </c>
      <c r="K154" t="s">
        <v>316</v>
      </c>
      <c r="L154" t="s">
        <v>317</v>
      </c>
      <c r="M154" t="s">
        <v>316</v>
      </c>
      <c r="N154" t="str">
        <f t="shared" si="10"/>
        <v>fwp_t2_sincere_05</v>
      </c>
      <c r="O154" t="s">
        <v>316</v>
      </c>
      <c r="P154" t="s">
        <v>500</v>
      </c>
      <c r="Q154" t="str">
        <f t="shared" si="8"/>
        <v>"sinc5_2":"fwp_t2_sincere_05",</v>
      </c>
    </row>
    <row r="155" spans="1:17" hidden="1" x14ac:dyDescent="0.35">
      <c r="A155">
        <v>4</v>
      </c>
      <c r="B155">
        <v>153</v>
      </c>
      <c r="C155" t="s">
        <v>503</v>
      </c>
      <c r="D155" s="12"/>
      <c r="E155" t="s">
        <v>153</v>
      </c>
      <c r="G155" t="s">
        <v>539</v>
      </c>
      <c r="H155" t="s">
        <v>458</v>
      </c>
      <c r="I155" s="1" t="s">
        <v>316</v>
      </c>
      <c r="J155" t="str">
        <f t="shared" si="9"/>
        <v>intel5_2</v>
      </c>
      <c r="K155" t="s">
        <v>316</v>
      </c>
      <c r="L155" t="s">
        <v>317</v>
      </c>
      <c r="M155" t="s">
        <v>316</v>
      </c>
      <c r="N155" t="str">
        <f t="shared" si="10"/>
        <v>fwp_t2_intelligent_05</v>
      </c>
      <c r="O155" t="s">
        <v>316</v>
      </c>
      <c r="P155" t="s">
        <v>500</v>
      </c>
      <c r="Q155" t="str">
        <f t="shared" si="8"/>
        <v>"intel5_2":"fwp_t2_intelligent_05",</v>
      </c>
    </row>
    <row r="156" spans="1:17" hidden="1" x14ac:dyDescent="0.35">
      <c r="A156">
        <v>4</v>
      </c>
      <c r="B156">
        <v>154</v>
      </c>
      <c r="C156" t="s">
        <v>503</v>
      </c>
      <c r="D156" s="12"/>
      <c r="E156" t="s">
        <v>154</v>
      </c>
      <c r="G156" t="s">
        <v>540</v>
      </c>
      <c r="H156" t="s">
        <v>459</v>
      </c>
      <c r="I156" s="1" t="s">
        <v>316</v>
      </c>
      <c r="J156" t="str">
        <f t="shared" si="9"/>
        <v>fun5_2</v>
      </c>
      <c r="K156" t="s">
        <v>316</v>
      </c>
      <c r="L156" t="s">
        <v>317</v>
      </c>
      <c r="M156" t="s">
        <v>316</v>
      </c>
      <c r="N156" t="str">
        <f t="shared" si="10"/>
        <v>fwp_t2_fun_05</v>
      </c>
      <c r="O156" t="s">
        <v>316</v>
      </c>
      <c r="P156" t="s">
        <v>500</v>
      </c>
      <c r="Q156" t="str">
        <f t="shared" si="8"/>
        <v>"fun5_2":"fwp_t2_fun_05",</v>
      </c>
    </row>
    <row r="157" spans="1:17" hidden="1" x14ac:dyDescent="0.35">
      <c r="A157">
        <v>4</v>
      </c>
      <c r="B157">
        <v>155</v>
      </c>
      <c r="C157" t="s">
        <v>503</v>
      </c>
      <c r="D157" s="12"/>
      <c r="E157" s="3" t="s">
        <v>155</v>
      </c>
      <c r="F157" s="3"/>
      <c r="G157" t="s">
        <v>541</v>
      </c>
      <c r="H157" t="s">
        <v>460</v>
      </c>
      <c r="I157" s="1" t="s">
        <v>316</v>
      </c>
      <c r="J157" t="str">
        <f t="shared" si="9"/>
        <v>amb5_2</v>
      </c>
      <c r="K157" t="s">
        <v>316</v>
      </c>
      <c r="L157" t="s">
        <v>317</v>
      </c>
      <c r="M157" t="s">
        <v>316</v>
      </c>
      <c r="N157" t="str">
        <f t="shared" si="10"/>
        <v>fwp_t2_ambitious_05</v>
      </c>
      <c r="O157" t="s">
        <v>316</v>
      </c>
      <c r="P157" t="s">
        <v>500</v>
      </c>
      <c r="Q157" t="str">
        <f t="shared" si="8"/>
        <v>"amb5_2":"fwp_t2_ambitious_05",</v>
      </c>
    </row>
    <row r="158" spans="1:17" hidden="1" x14ac:dyDescent="0.35">
      <c r="A158">
        <v>5</v>
      </c>
      <c r="B158">
        <v>156</v>
      </c>
      <c r="C158" t="s">
        <v>579</v>
      </c>
      <c r="D158" s="11" t="s">
        <v>577</v>
      </c>
      <c r="E158" t="s">
        <v>156</v>
      </c>
      <c r="G158" t="s">
        <v>542</v>
      </c>
      <c r="H158" t="s">
        <v>461</v>
      </c>
      <c r="I158" s="1" t="s">
        <v>316</v>
      </c>
      <c r="J158" t="str">
        <f t="shared" si="9"/>
        <v>you_call</v>
      </c>
      <c r="K158" t="s">
        <v>316</v>
      </c>
      <c r="L158" t="s">
        <v>317</v>
      </c>
      <c r="M158" t="s">
        <v>316</v>
      </c>
      <c r="N158" t="str">
        <f t="shared" si="10"/>
        <v>fwp2_t3_call_contacted</v>
      </c>
      <c r="O158" t="s">
        <v>316</v>
      </c>
      <c r="P158" t="s">
        <v>500</v>
      </c>
      <c r="Q158" t="str">
        <f t="shared" si="8"/>
        <v>"you_call":"fwp2_t3_call_contacted",</v>
      </c>
    </row>
    <row r="159" spans="1:17" hidden="1" x14ac:dyDescent="0.35">
      <c r="A159">
        <v>5</v>
      </c>
      <c r="B159">
        <v>157</v>
      </c>
      <c r="C159" t="s">
        <v>579</v>
      </c>
      <c r="D159" s="11"/>
      <c r="E159" t="s">
        <v>157</v>
      </c>
      <c r="G159" t="s">
        <v>543</v>
      </c>
      <c r="H159" t="s">
        <v>462</v>
      </c>
      <c r="I159" s="1" t="s">
        <v>316</v>
      </c>
      <c r="J159" t="str">
        <f t="shared" si="9"/>
        <v>them_cal</v>
      </c>
      <c r="K159" t="s">
        <v>316</v>
      </c>
      <c r="L159" t="s">
        <v>317</v>
      </c>
      <c r="M159" t="s">
        <v>316</v>
      </c>
      <c r="N159" t="str">
        <f t="shared" si="10"/>
        <v>fwp2_t3_call_received</v>
      </c>
      <c r="O159" t="s">
        <v>316</v>
      </c>
      <c r="P159" t="s">
        <v>500</v>
      </c>
      <c r="Q159" t="str">
        <f t="shared" si="8"/>
        <v>"them_cal":"fwp2_t3_call_received",</v>
      </c>
    </row>
    <row r="160" spans="1:17" hidden="1" x14ac:dyDescent="0.35">
      <c r="A160">
        <v>5</v>
      </c>
      <c r="B160">
        <v>158</v>
      </c>
      <c r="C160" t="s">
        <v>579</v>
      </c>
      <c r="D160" s="11"/>
      <c r="E160" t="s">
        <v>158</v>
      </c>
      <c r="G160" t="s">
        <v>544</v>
      </c>
      <c r="H160" t="s">
        <v>463</v>
      </c>
      <c r="I160" s="1" t="s">
        <v>316</v>
      </c>
      <c r="J160" t="str">
        <f t="shared" si="9"/>
        <v>date_3</v>
      </c>
      <c r="K160" t="s">
        <v>316</v>
      </c>
      <c r="L160" t="s">
        <v>317</v>
      </c>
      <c r="M160" t="s">
        <v>316</v>
      </c>
      <c r="N160" t="str">
        <f t="shared" si="10"/>
        <v>fwp2_t3_date</v>
      </c>
      <c r="O160" t="s">
        <v>316</v>
      </c>
      <c r="P160" t="s">
        <v>500</v>
      </c>
      <c r="Q160" t="str">
        <f t="shared" si="8"/>
        <v>"date_3":"fwp2_t3_date",</v>
      </c>
    </row>
    <row r="161" spans="1:17" hidden="1" x14ac:dyDescent="0.35">
      <c r="A161">
        <v>5</v>
      </c>
      <c r="B161">
        <v>159</v>
      </c>
      <c r="C161" t="s">
        <v>579</v>
      </c>
      <c r="D161" s="11"/>
      <c r="E161" t="s">
        <v>159</v>
      </c>
      <c r="G161" t="s">
        <v>545</v>
      </c>
      <c r="H161" t="s">
        <v>464</v>
      </c>
      <c r="I161" s="1" t="s">
        <v>316</v>
      </c>
      <c r="J161" t="str">
        <f t="shared" si="9"/>
        <v>numdat_3</v>
      </c>
      <c r="K161" t="s">
        <v>316</v>
      </c>
      <c r="L161" t="s">
        <v>317</v>
      </c>
      <c r="M161" t="s">
        <v>316</v>
      </c>
      <c r="N161" t="str">
        <f t="shared" si="10"/>
        <v>fwp2_t3_number_speed_dates</v>
      </c>
      <c r="O161" t="s">
        <v>316</v>
      </c>
      <c r="P161" t="s">
        <v>500</v>
      </c>
      <c r="Q161" t="str">
        <f t="shared" si="8"/>
        <v>"numdat_3":"fwp2_t3_number_speed_dates",</v>
      </c>
    </row>
    <row r="162" spans="1:17" hidden="1" x14ac:dyDescent="0.35">
      <c r="A162">
        <v>5</v>
      </c>
      <c r="B162">
        <v>160</v>
      </c>
      <c r="C162" t="s">
        <v>579</v>
      </c>
      <c r="D162" s="11"/>
      <c r="E162" t="s">
        <v>160</v>
      </c>
      <c r="G162" t="s">
        <v>546</v>
      </c>
      <c r="H162" t="s">
        <v>465</v>
      </c>
      <c r="I162" s="1" t="s">
        <v>316</v>
      </c>
      <c r="J162" t="str">
        <f t="shared" si="9"/>
        <v>num_in_3</v>
      </c>
      <c r="K162" t="s">
        <v>316</v>
      </c>
      <c r="L162" t="s">
        <v>317</v>
      </c>
      <c r="M162" t="s">
        <v>316</v>
      </c>
      <c r="N162" t="str">
        <f t="shared" si="10"/>
        <v>fwp2_t3_if_speed_dates</v>
      </c>
      <c r="O162" t="s">
        <v>316</v>
      </c>
      <c r="P162" t="s">
        <v>500</v>
      </c>
      <c r="Q162" t="str">
        <f t="shared" si="8"/>
        <v>"num_in_3":"fwp2_t3_if_speed_dates",</v>
      </c>
    </row>
    <row r="163" spans="1:17" hidden="1" x14ac:dyDescent="0.35">
      <c r="A163">
        <v>5</v>
      </c>
      <c r="B163">
        <v>161</v>
      </c>
      <c r="C163" t="s">
        <v>579</v>
      </c>
      <c r="D163" s="11"/>
      <c r="E163" t="s">
        <v>161</v>
      </c>
      <c r="G163" t="s">
        <v>547</v>
      </c>
      <c r="H163" t="s">
        <v>466</v>
      </c>
      <c r="I163" s="1" t="s">
        <v>316</v>
      </c>
      <c r="J163" t="str">
        <f t="shared" si="9"/>
        <v>attr1_3</v>
      </c>
      <c r="K163" t="s">
        <v>316</v>
      </c>
      <c r="L163" t="s">
        <v>317</v>
      </c>
      <c r="M163" t="s">
        <v>316</v>
      </c>
      <c r="N163" t="str">
        <f t="shared" si="10"/>
        <v>fwp2_t3_attractive_01</v>
      </c>
      <c r="O163" t="s">
        <v>316</v>
      </c>
      <c r="P163" t="s">
        <v>500</v>
      </c>
      <c r="Q163" t="str">
        <f t="shared" ref="Q163:Q196" si="11">_xlfn.CONCAT(I163,J163,K163,L163,M163,N163,O163,P163)</f>
        <v>"attr1_3":"fwp2_t3_attractive_01",</v>
      </c>
    </row>
    <row r="164" spans="1:17" hidden="1" x14ac:dyDescent="0.35">
      <c r="A164">
        <v>5</v>
      </c>
      <c r="B164">
        <v>162</v>
      </c>
      <c r="C164" t="s">
        <v>579</v>
      </c>
      <c r="D164" s="11"/>
      <c r="E164" t="s">
        <v>162</v>
      </c>
      <c r="G164" t="s">
        <v>548</v>
      </c>
      <c r="H164" t="s">
        <v>467</v>
      </c>
      <c r="I164" s="1" t="s">
        <v>316</v>
      </c>
      <c r="J164" t="str">
        <f t="shared" si="9"/>
        <v>sinc1_3</v>
      </c>
      <c r="K164" t="s">
        <v>316</v>
      </c>
      <c r="L164" t="s">
        <v>317</v>
      </c>
      <c r="M164" t="s">
        <v>316</v>
      </c>
      <c r="N164" t="str">
        <f t="shared" si="10"/>
        <v>fwp2_t3_Sincere_01</v>
      </c>
      <c r="O164" t="s">
        <v>316</v>
      </c>
      <c r="P164" t="s">
        <v>500</v>
      </c>
      <c r="Q164" t="str">
        <f t="shared" si="11"/>
        <v>"sinc1_3":"fwp2_t3_Sincere_01",</v>
      </c>
    </row>
    <row r="165" spans="1:17" hidden="1" x14ac:dyDescent="0.35">
      <c r="A165">
        <v>5</v>
      </c>
      <c r="B165">
        <v>163</v>
      </c>
      <c r="C165" t="s">
        <v>579</v>
      </c>
      <c r="D165" s="11"/>
      <c r="E165" t="s">
        <v>163</v>
      </c>
      <c r="G165" t="s">
        <v>549</v>
      </c>
      <c r="H165" t="s">
        <v>468</v>
      </c>
      <c r="I165" s="1" t="s">
        <v>316</v>
      </c>
      <c r="J165" t="str">
        <f t="shared" si="9"/>
        <v>intel1_3</v>
      </c>
      <c r="K165" t="s">
        <v>316</v>
      </c>
      <c r="L165" t="s">
        <v>317</v>
      </c>
      <c r="M165" t="s">
        <v>316</v>
      </c>
      <c r="N165" t="str">
        <f t="shared" si="10"/>
        <v>fwp2_t3_intelligent_01</v>
      </c>
      <c r="O165" t="s">
        <v>316</v>
      </c>
      <c r="P165" t="s">
        <v>500</v>
      </c>
      <c r="Q165" t="str">
        <f t="shared" si="11"/>
        <v>"intel1_3":"fwp2_t3_intelligent_01",</v>
      </c>
    </row>
    <row r="166" spans="1:17" hidden="1" x14ac:dyDescent="0.35">
      <c r="A166">
        <v>5</v>
      </c>
      <c r="B166">
        <v>164</v>
      </c>
      <c r="C166" t="s">
        <v>579</v>
      </c>
      <c r="D166" s="11"/>
      <c r="E166" t="s">
        <v>164</v>
      </c>
      <c r="G166" t="s">
        <v>550</v>
      </c>
      <c r="H166" t="s">
        <v>469</v>
      </c>
      <c r="I166" s="1" t="s">
        <v>316</v>
      </c>
      <c r="J166" t="str">
        <f t="shared" si="9"/>
        <v>fun1_3</v>
      </c>
      <c r="K166" t="s">
        <v>316</v>
      </c>
      <c r="L166" t="s">
        <v>317</v>
      </c>
      <c r="M166" t="s">
        <v>316</v>
      </c>
      <c r="N166" t="str">
        <f t="shared" si="10"/>
        <v>fwp2_t3_fun_01</v>
      </c>
      <c r="O166" t="s">
        <v>316</v>
      </c>
      <c r="P166" t="s">
        <v>500</v>
      </c>
      <c r="Q166" t="str">
        <f t="shared" si="11"/>
        <v>"fun1_3":"fwp2_t3_fun_01",</v>
      </c>
    </row>
    <row r="167" spans="1:17" hidden="1" x14ac:dyDescent="0.35">
      <c r="A167">
        <v>5</v>
      </c>
      <c r="B167">
        <v>165</v>
      </c>
      <c r="C167" t="s">
        <v>579</v>
      </c>
      <c r="D167" s="11"/>
      <c r="E167" t="s">
        <v>165</v>
      </c>
      <c r="G167" t="s">
        <v>551</v>
      </c>
      <c r="H167" t="s">
        <v>470</v>
      </c>
      <c r="I167" s="1" t="s">
        <v>316</v>
      </c>
      <c r="J167" t="str">
        <f t="shared" si="9"/>
        <v>amb1_3</v>
      </c>
      <c r="K167" t="s">
        <v>316</v>
      </c>
      <c r="L167" t="s">
        <v>317</v>
      </c>
      <c r="M167" t="s">
        <v>316</v>
      </c>
      <c r="N167" t="str">
        <f t="shared" si="10"/>
        <v>fwp2_t3_ambitious_01</v>
      </c>
      <c r="O167" t="s">
        <v>316</v>
      </c>
      <c r="P167" t="s">
        <v>500</v>
      </c>
      <c r="Q167" t="str">
        <f t="shared" si="11"/>
        <v>"amb1_3":"fwp2_t3_ambitious_01",</v>
      </c>
    </row>
    <row r="168" spans="1:17" hidden="1" x14ac:dyDescent="0.35">
      <c r="A168">
        <v>5</v>
      </c>
      <c r="B168">
        <v>166</v>
      </c>
      <c r="C168" t="s">
        <v>579</v>
      </c>
      <c r="D168" s="11"/>
      <c r="E168" t="s">
        <v>166</v>
      </c>
      <c r="G168" t="s">
        <v>552</v>
      </c>
      <c r="H168" t="s">
        <v>471</v>
      </c>
      <c r="I168" s="1" t="s">
        <v>316</v>
      </c>
      <c r="J168" t="str">
        <f t="shared" si="9"/>
        <v>shar1_3</v>
      </c>
      <c r="K168" t="s">
        <v>316</v>
      </c>
      <c r="L168" t="s">
        <v>317</v>
      </c>
      <c r="M168" t="s">
        <v>316</v>
      </c>
      <c r="N168" t="str">
        <f t="shared" si="10"/>
        <v>fwp2_t3_shared_interests_01</v>
      </c>
      <c r="O168" t="s">
        <v>316</v>
      </c>
      <c r="P168" t="s">
        <v>500</v>
      </c>
      <c r="Q168" t="str">
        <f t="shared" si="11"/>
        <v>"shar1_3":"fwp2_t3_shared_interests_01",</v>
      </c>
    </row>
    <row r="169" spans="1:17" hidden="1" x14ac:dyDescent="0.35">
      <c r="A169">
        <v>5</v>
      </c>
      <c r="B169">
        <v>167</v>
      </c>
      <c r="C169" t="s">
        <v>579</v>
      </c>
      <c r="D169" s="11"/>
      <c r="E169" t="s">
        <v>167</v>
      </c>
      <c r="G169" t="s">
        <v>553</v>
      </c>
      <c r="H169" t="s">
        <v>472</v>
      </c>
      <c r="I169" s="1" t="s">
        <v>316</v>
      </c>
      <c r="J169" t="str">
        <f t="shared" si="9"/>
        <v>attr7_3</v>
      </c>
      <c r="K169" t="s">
        <v>316</v>
      </c>
      <c r="L169" t="s">
        <v>317</v>
      </c>
      <c r="M169" t="s">
        <v>316</v>
      </c>
      <c r="N169" t="str">
        <f t="shared" si="10"/>
        <v>fwp2_t3_attractive_07</v>
      </c>
      <c r="O169" t="s">
        <v>316</v>
      </c>
      <c r="P169" t="s">
        <v>500</v>
      </c>
      <c r="Q169" t="str">
        <f t="shared" si="11"/>
        <v>"attr7_3":"fwp2_t3_attractive_07",</v>
      </c>
    </row>
    <row r="170" spans="1:17" hidden="1" x14ac:dyDescent="0.35">
      <c r="A170">
        <v>5</v>
      </c>
      <c r="B170">
        <v>168</v>
      </c>
      <c r="C170" t="s">
        <v>579</v>
      </c>
      <c r="D170" s="11"/>
      <c r="E170" t="s">
        <v>168</v>
      </c>
      <c r="G170" t="s">
        <v>554</v>
      </c>
      <c r="H170" t="s">
        <v>473</v>
      </c>
      <c r="I170" s="1" t="s">
        <v>316</v>
      </c>
      <c r="J170" t="str">
        <f t="shared" si="9"/>
        <v>sinc7_3</v>
      </c>
      <c r="K170" t="s">
        <v>316</v>
      </c>
      <c r="L170" t="s">
        <v>317</v>
      </c>
      <c r="M170" t="s">
        <v>316</v>
      </c>
      <c r="N170" t="str">
        <f t="shared" si="10"/>
        <v>fwp2_t3_sincere_07</v>
      </c>
      <c r="O170" t="s">
        <v>316</v>
      </c>
      <c r="P170" t="s">
        <v>500</v>
      </c>
      <c r="Q170" t="str">
        <f t="shared" si="11"/>
        <v>"sinc7_3":"fwp2_t3_sincere_07",</v>
      </c>
    </row>
    <row r="171" spans="1:17" hidden="1" x14ac:dyDescent="0.35">
      <c r="A171">
        <v>5</v>
      </c>
      <c r="B171">
        <v>169</v>
      </c>
      <c r="C171" t="s">
        <v>579</v>
      </c>
      <c r="D171" s="11"/>
      <c r="E171" t="s">
        <v>169</v>
      </c>
      <c r="G171" t="s">
        <v>555</v>
      </c>
      <c r="H171" t="s">
        <v>474</v>
      </c>
      <c r="I171" s="1" t="s">
        <v>316</v>
      </c>
      <c r="J171" t="str">
        <f t="shared" si="9"/>
        <v>intel7_3</v>
      </c>
      <c r="K171" t="s">
        <v>316</v>
      </c>
      <c r="L171" t="s">
        <v>317</v>
      </c>
      <c r="M171" t="s">
        <v>316</v>
      </c>
      <c r="N171" t="str">
        <f t="shared" si="10"/>
        <v>fwp2_t3_intelligent_07</v>
      </c>
      <c r="O171" t="s">
        <v>316</v>
      </c>
      <c r="P171" t="s">
        <v>500</v>
      </c>
      <c r="Q171" t="str">
        <f t="shared" si="11"/>
        <v>"intel7_3":"fwp2_t3_intelligent_07",</v>
      </c>
    </row>
    <row r="172" spans="1:17" hidden="1" x14ac:dyDescent="0.35">
      <c r="A172">
        <v>5</v>
      </c>
      <c r="B172">
        <v>170</v>
      </c>
      <c r="C172" t="s">
        <v>579</v>
      </c>
      <c r="D172" s="11"/>
      <c r="E172" t="s">
        <v>170</v>
      </c>
      <c r="G172" t="s">
        <v>556</v>
      </c>
      <c r="H172" t="s">
        <v>475</v>
      </c>
      <c r="I172" s="1" t="s">
        <v>316</v>
      </c>
      <c r="J172" t="str">
        <f t="shared" si="9"/>
        <v>fun7_3</v>
      </c>
      <c r="K172" t="s">
        <v>316</v>
      </c>
      <c r="L172" t="s">
        <v>317</v>
      </c>
      <c r="M172" t="s">
        <v>316</v>
      </c>
      <c r="N172" t="str">
        <f t="shared" si="10"/>
        <v>fwp2_t3_fun_07</v>
      </c>
      <c r="O172" t="s">
        <v>316</v>
      </c>
      <c r="P172" t="s">
        <v>500</v>
      </c>
      <c r="Q172" t="str">
        <f t="shared" si="11"/>
        <v>"fun7_3":"fwp2_t3_fun_07",</v>
      </c>
    </row>
    <row r="173" spans="1:17" hidden="1" x14ac:dyDescent="0.35">
      <c r="A173">
        <v>5</v>
      </c>
      <c r="B173">
        <v>171</v>
      </c>
      <c r="C173" t="s">
        <v>579</v>
      </c>
      <c r="D173" s="11"/>
      <c r="E173" t="s">
        <v>171</v>
      </c>
      <c r="G173" t="s">
        <v>557</v>
      </c>
      <c r="H173" t="s">
        <v>476</v>
      </c>
      <c r="I173" s="1" t="s">
        <v>316</v>
      </c>
      <c r="J173" t="str">
        <f t="shared" si="9"/>
        <v>amb7_3</v>
      </c>
      <c r="K173" t="s">
        <v>316</v>
      </c>
      <c r="L173" t="s">
        <v>317</v>
      </c>
      <c r="M173" t="s">
        <v>316</v>
      </c>
      <c r="N173" t="str">
        <f t="shared" si="10"/>
        <v>fwp2_t3_ambitious_07</v>
      </c>
      <c r="O173" t="s">
        <v>316</v>
      </c>
      <c r="P173" t="s">
        <v>500</v>
      </c>
      <c r="Q173" t="str">
        <f t="shared" si="11"/>
        <v>"amb7_3":"fwp2_t3_ambitious_07",</v>
      </c>
    </row>
    <row r="174" spans="1:17" hidden="1" x14ac:dyDescent="0.35">
      <c r="A174">
        <v>5</v>
      </c>
      <c r="B174">
        <v>172</v>
      </c>
      <c r="C174" t="s">
        <v>579</v>
      </c>
      <c r="D174" s="11"/>
      <c r="E174" t="s">
        <v>172</v>
      </c>
      <c r="G174" t="s">
        <v>558</v>
      </c>
      <c r="H174" t="s">
        <v>477</v>
      </c>
      <c r="I174" s="1" t="s">
        <v>316</v>
      </c>
      <c r="J174" t="str">
        <f t="shared" si="9"/>
        <v>shar7_3</v>
      </c>
      <c r="K174" t="s">
        <v>316</v>
      </c>
      <c r="L174" t="s">
        <v>317</v>
      </c>
      <c r="M174" t="s">
        <v>316</v>
      </c>
      <c r="N174" t="str">
        <f t="shared" si="10"/>
        <v>fwp2_t3_shared_interests_07</v>
      </c>
      <c r="O174" t="s">
        <v>316</v>
      </c>
      <c r="P174" t="s">
        <v>500</v>
      </c>
      <c r="Q174" t="str">
        <f t="shared" si="11"/>
        <v>"shar7_3":"fwp2_t3_shared_interests_07",</v>
      </c>
    </row>
    <row r="175" spans="1:17" hidden="1" x14ac:dyDescent="0.35">
      <c r="A175">
        <v>5</v>
      </c>
      <c r="B175">
        <v>173</v>
      </c>
      <c r="C175" t="s">
        <v>579</v>
      </c>
      <c r="D175" s="11"/>
      <c r="E175" t="s">
        <v>173</v>
      </c>
      <c r="G175" t="s">
        <v>559</v>
      </c>
      <c r="H175" t="s">
        <v>478</v>
      </c>
      <c r="I175" s="1" t="s">
        <v>316</v>
      </c>
      <c r="J175" t="str">
        <f t="shared" si="9"/>
        <v>attr4_3</v>
      </c>
      <c r="K175" t="s">
        <v>316</v>
      </c>
      <c r="L175" t="s">
        <v>317</v>
      </c>
      <c r="M175" t="s">
        <v>316</v>
      </c>
      <c r="N175" t="str">
        <f t="shared" si="10"/>
        <v>fwp2_t3_attractive_04</v>
      </c>
      <c r="O175" t="s">
        <v>316</v>
      </c>
      <c r="P175" t="s">
        <v>500</v>
      </c>
      <c r="Q175" t="str">
        <f t="shared" si="11"/>
        <v>"attr4_3":"fwp2_t3_attractive_04",</v>
      </c>
    </row>
    <row r="176" spans="1:17" hidden="1" x14ac:dyDescent="0.35">
      <c r="A176">
        <v>5</v>
      </c>
      <c r="B176">
        <v>174</v>
      </c>
      <c r="C176" t="s">
        <v>579</v>
      </c>
      <c r="D176" s="11"/>
      <c r="E176" t="s">
        <v>174</v>
      </c>
      <c r="G176" t="s">
        <v>560</v>
      </c>
      <c r="H176" t="s">
        <v>479</v>
      </c>
      <c r="I176" s="1" t="s">
        <v>316</v>
      </c>
      <c r="J176" t="str">
        <f t="shared" si="9"/>
        <v>sinc4_3</v>
      </c>
      <c r="K176" t="s">
        <v>316</v>
      </c>
      <c r="L176" t="s">
        <v>317</v>
      </c>
      <c r="M176" t="s">
        <v>316</v>
      </c>
      <c r="N176" t="str">
        <f t="shared" si="10"/>
        <v>fwp2_t3_sincere_04</v>
      </c>
      <c r="O176" t="s">
        <v>316</v>
      </c>
      <c r="P176" t="s">
        <v>500</v>
      </c>
      <c r="Q176" t="str">
        <f t="shared" si="11"/>
        <v>"sinc4_3":"fwp2_t3_sincere_04",</v>
      </c>
    </row>
    <row r="177" spans="1:17" hidden="1" x14ac:dyDescent="0.35">
      <c r="A177">
        <v>5</v>
      </c>
      <c r="B177">
        <v>175</v>
      </c>
      <c r="C177" t="s">
        <v>579</v>
      </c>
      <c r="D177" s="11"/>
      <c r="E177" t="s">
        <v>175</v>
      </c>
      <c r="G177" t="s">
        <v>561</v>
      </c>
      <c r="H177" t="s">
        <v>480</v>
      </c>
      <c r="I177" s="1" t="s">
        <v>316</v>
      </c>
      <c r="J177" t="str">
        <f t="shared" si="9"/>
        <v>intel4_3</v>
      </c>
      <c r="K177" t="s">
        <v>316</v>
      </c>
      <c r="L177" t="s">
        <v>317</v>
      </c>
      <c r="M177" t="s">
        <v>316</v>
      </c>
      <c r="N177" t="str">
        <f t="shared" si="10"/>
        <v>fwp2_t3_intelligent_04</v>
      </c>
      <c r="O177" t="s">
        <v>316</v>
      </c>
      <c r="P177" t="s">
        <v>500</v>
      </c>
      <c r="Q177" t="str">
        <f t="shared" si="11"/>
        <v>"intel4_3":"fwp2_t3_intelligent_04",</v>
      </c>
    </row>
    <row r="178" spans="1:17" hidden="1" x14ac:dyDescent="0.35">
      <c r="A178">
        <v>5</v>
      </c>
      <c r="B178">
        <v>176</v>
      </c>
      <c r="C178" t="s">
        <v>579</v>
      </c>
      <c r="D178" s="11"/>
      <c r="E178" t="s">
        <v>176</v>
      </c>
      <c r="G178" t="s">
        <v>562</v>
      </c>
      <c r="H178" t="s">
        <v>481</v>
      </c>
      <c r="I178" s="1" t="s">
        <v>316</v>
      </c>
      <c r="J178" t="str">
        <f t="shared" si="9"/>
        <v>fun4_3</v>
      </c>
      <c r="K178" t="s">
        <v>316</v>
      </c>
      <c r="L178" t="s">
        <v>317</v>
      </c>
      <c r="M178" t="s">
        <v>316</v>
      </c>
      <c r="N178" t="str">
        <f t="shared" si="10"/>
        <v>fwp2_t3_fun_04</v>
      </c>
      <c r="O178" t="s">
        <v>316</v>
      </c>
      <c r="P178" t="s">
        <v>500</v>
      </c>
      <c r="Q178" t="str">
        <f t="shared" si="11"/>
        <v>"fun4_3":"fwp2_t3_fun_04",</v>
      </c>
    </row>
    <row r="179" spans="1:17" hidden="1" x14ac:dyDescent="0.35">
      <c r="A179">
        <v>5</v>
      </c>
      <c r="B179">
        <v>177</v>
      </c>
      <c r="C179" t="s">
        <v>579</v>
      </c>
      <c r="D179" s="11"/>
      <c r="E179" t="s">
        <v>177</v>
      </c>
      <c r="G179" t="s">
        <v>563</v>
      </c>
      <c r="H179" t="s">
        <v>482</v>
      </c>
      <c r="I179" s="1" t="s">
        <v>316</v>
      </c>
      <c r="J179" t="str">
        <f t="shared" si="9"/>
        <v>amb4_3</v>
      </c>
      <c r="K179" t="s">
        <v>316</v>
      </c>
      <c r="L179" t="s">
        <v>317</v>
      </c>
      <c r="M179" t="s">
        <v>316</v>
      </c>
      <c r="N179" t="str">
        <f t="shared" si="10"/>
        <v>fwp2_t3_ambitious_04</v>
      </c>
      <c r="O179" t="s">
        <v>316</v>
      </c>
      <c r="P179" t="s">
        <v>500</v>
      </c>
      <c r="Q179" t="str">
        <f t="shared" si="11"/>
        <v>"amb4_3":"fwp2_t3_ambitious_04",</v>
      </c>
    </row>
    <row r="180" spans="1:17" hidden="1" x14ac:dyDescent="0.35">
      <c r="A180">
        <v>5</v>
      </c>
      <c r="B180">
        <v>178</v>
      </c>
      <c r="C180" t="s">
        <v>579</v>
      </c>
      <c r="D180" s="11"/>
      <c r="E180" t="s">
        <v>178</v>
      </c>
      <c r="G180" t="s">
        <v>564</v>
      </c>
      <c r="H180" t="s">
        <v>483</v>
      </c>
      <c r="I180" s="1" t="s">
        <v>316</v>
      </c>
      <c r="J180" t="str">
        <f t="shared" si="9"/>
        <v>shar4_3</v>
      </c>
      <c r="K180" t="s">
        <v>316</v>
      </c>
      <c r="L180" t="s">
        <v>317</v>
      </c>
      <c r="M180" t="s">
        <v>316</v>
      </c>
      <c r="N180" t="str">
        <f t="shared" si="10"/>
        <v>fwp2_t3_shared_interests_04</v>
      </c>
      <c r="O180" t="s">
        <v>316</v>
      </c>
      <c r="P180" t="s">
        <v>500</v>
      </c>
      <c r="Q180" t="str">
        <f t="shared" si="11"/>
        <v>"shar4_3":"fwp2_t3_shared_interests_04",</v>
      </c>
    </row>
    <row r="181" spans="1:17" hidden="1" x14ac:dyDescent="0.35">
      <c r="A181">
        <v>5</v>
      </c>
      <c r="B181">
        <v>179</v>
      </c>
      <c r="C181" t="s">
        <v>579</v>
      </c>
      <c r="D181" s="11"/>
      <c r="E181" t="s">
        <v>179</v>
      </c>
      <c r="G181" t="s">
        <v>565</v>
      </c>
      <c r="H181" t="s">
        <v>484</v>
      </c>
      <c r="I181" s="1" t="s">
        <v>316</v>
      </c>
      <c r="J181" t="str">
        <f t="shared" si="9"/>
        <v>attr2_3</v>
      </c>
      <c r="K181" t="s">
        <v>316</v>
      </c>
      <c r="L181" t="s">
        <v>317</v>
      </c>
      <c r="M181" t="s">
        <v>316</v>
      </c>
      <c r="N181" t="str">
        <f t="shared" si="10"/>
        <v>fwp2_t3_attractive_02</v>
      </c>
      <c r="O181" t="s">
        <v>316</v>
      </c>
      <c r="P181" t="s">
        <v>500</v>
      </c>
      <c r="Q181" t="str">
        <f t="shared" si="11"/>
        <v>"attr2_3":"fwp2_t3_attractive_02",</v>
      </c>
    </row>
    <row r="182" spans="1:17" hidden="1" x14ac:dyDescent="0.35">
      <c r="A182">
        <v>5</v>
      </c>
      <c r="B182">
        <v>180</v>
      </c>
      <c r="C182" t="s">
        <v>579</v>
      </c>
      <c r="D182" s="11"/>
      <c r="E182" t="s">
        <v>180</v>
      </c>
      <c r="G182" t="s">
        <v>236</v>
      </c>
      <c r="H182" t="s">
        <v>485</v>
      </c>
      <c r="I182" s="1" t="s">
        <v>316</v>
      </c>
      <c r="J182" t="str">
        <f t="shared" si="9"/>
        <v>sinc2_3</v>
      </c>
      <c r="K182" t="s">
        <v>316</v>
      </c>
      <c r="L182" t="s">
        <v>317</v>
      </c>
      <c r="M182" t="s">
        <v>316</v>
      </c>
      <c r="N182" t="str">
        <f t="shared" si="10"/>
        <v>fwp2_sincere_02</v>
      </c>
      <c r="O182" t="s">
        <v>316</v>
      </c>
      <c r="P182" t="s">
        <v>500</v>
      </c>
      <c r="Q182" t="str">
        <f t="shared" si="11"/>
        <v>"sinc2_3":"fwp2_sincere_02",</v>
      </c>
    </row>
    <row r="183" spans="1:17" hidden="1" x14ac:dyDescent="0.35">
      <c r="A183">
        <v>5</v>
      </c>
      <c r="B183">
        <v>181</v>
      </c>
      <c r="C183" t="s">
        <v>579</v>
      </c>
      <c r="D183" s="11"/>
      <c r="E183" t="s">
        <v>181</v>
      </c>
      <c r="G183" t="s">
        <v>237</v>
      </c>
      <c r="H183" t="s">
        <v>486</v>
      </c>
      <c r="I183" s="1" t="s">
        <v>316</v>
      </c>
      <c r="J183" t="str">
        <f t="shared" si="9"/>
        <v>intel2_3</v>
      </c>
      <c r="K183" t="s">
        <v>316</v>
      </c>
      <c r="L183" t="s">
        <v>317</v>
      </c>
      <c r="M183" t="s">
        <v>316</v>
      </c>
      <c r="N183" t="str">
        <f t="shared" si="10"/>
        <v>fwp2_intelligent_02</v>
      </c>
      <c r="O183" t="s">
        <v>316</v>
      </c>
      <c r="P183" t="s">
        <v>500</v>
      </c>
      <c r="Q183" t="str">
        <f t="shared" si="11"/>
        <v>"intel2_3":"fwp2_intelligent_02",</v>
      </c>
    </row>
    <row r="184" spans="1:17" hidden="1" x14ac:dyDescent="0.35">
      <c r="A184">
        <v>5</v>
      </c>
      <c r="B184">
        <v>182</v>
      </c>
      <c r="C184" t="s">
        <v>579</v>
      </c>
      <c r="D184" s="11"/>
      <c r="E184" t="s">
        <v>182</v>
      </c>
      <c r="G184" t="s">
        <v>238</v>
      </c>
      <c r="H184" t="s">
        <v>487</v>
      </c>
      <c r="I184" s="1" t="s">
        <v>316</v>
      </c>
      <c r="J184" t="str">
        <f t="shared" si="9"/>
        <v>fun2_3</v>
      </c>
      <c r="K184" t="s">
        <v>316</v>
      </c>
      <c r="L184" t="s">
        <v>317</v>
      </c>
      <c r="M184" t="s">
        <v>316</v>
      </c>
      <c r="N184" t="str">
        <f t="shared" si="10"/>
        <v>fwp2_fun_02</v>
      </c>
      <c r="O184" t="s">
        <v>316</v>
      </c>
      <c r="P184" t="s">
        <v>500</v>
      </c>
      <c r="Q184" t="str">
        <f t="shared" si="11"/>
        <v>"fun2_3":"fwp2_fun_02",</v>
      </c>
    </row>
    <row r="185" spans="1:17" hidden="1" x14ac:dyDescent="0.35">
      <c r="A185">
        <v>5</v>
      </c>
      <c r="B185">
        <v>183</v>
      </c>
      <c r="C185" t="s">
        <v>579</v>
      </c>
      <c r="D185" s="11"/>
      <c r="E185" t="s">
        <v>183</v>
      </c>
      <c r="G185" t="s">
        <v>239</v>
      </c>
      <c r="H185" t="s">
        <v>488</v>
      </c>
      <c r="I185" s="1" t="s">
        <v>316</v>
      </c>
      <c r="J185" t="str">
        <f t="shared" si="9"/>
        <v>amb2_3</v>
      </c>
      <c r="K185" t="s">
        <v>316</v>
      </c>
      <c r="L185" t="s">
        <v>317</v>
      </c>
      <c r="M185" t="s">
        <v>316</v>
      </c>
      <c r="N185" t="str">
        <f t="shared" si="10"/>
        <v>fwp2_ambitious_02</v>
      </c>
      <c r="O185" t="s">
        <v>316</v>
      </c>
      <c r="P185" t="s">
        <v>500</v>
      </c>
      <c r="Q185" t="str">
        <f t="shared" si="11"/>
        <v>"amb2_3":"fwp2_ambitious_02",</v>
      </c>
    </row>
    <row r="186" spans="1:17" hidden="1" x14ac:dyDescent="0.35">
      <c r="A186">
        <v>5</v>
      </c>
      <c r="B186">
        <v>184</v>
      </c>
      <c r="C186" t="s">
        <v>579</v>
      </c>
      <c r="D186" s="11"/>
      <c r="E186" t="s">
        <v>184</v>
      </c>
      <c r="G186" t="s">
        <v>240</v>
      </c>
      <c r="H186" t="s">
        <v>489</v>
      </c>
      <c r="I186" s="1" t="s">
        <v>316</v>
      </c>
      <c r="J186" t="str">
        <f t="shared" si="9"/>
        <v>shar2_3</v>
      </c>
      <c r="K186" t="s">
        <v>316</v>
      </c>
      <c r="L186" t="s">
        <v>317</v>
      </c>
      <c r="M186" t="s">
        <v>316</v>
      </c>
      <c r="N186" t="str">
        <f t="shared" si="10"/>
        <v>fwp2_shared_interests_02</v>
      </c>
      <c r="O186" t="s">
        <v>316</v>
      </c>
      <c r="P186" t="s">
        <v>500</v>
      </c>
      <c r="Q186" t="str">
        <f t="shared" si="11"/>
        <v>"shar2_3":"fwp2_shared_interests_02",</v>
      </c>
    </row>
    <row r="187" spans="1:17" hidden="1" x14ac:dyDescent="0.35">
      <c r="A187">
        <v>5</v>
      </c>
      <c r="B187">
        <v>185</v>
      </c>
      <c r="C187" t="s">
        <v>579</v>
      </c>
      <c r="D187" s="11"/>
      <c r="E187" t="s">
        <v>185</v>
      </c>
      <c r="G187" t="s">
        <v>241</v>
      </c>
      <c r="H187" t="s">
        <v>490</v>
      </c>
      <c r="I187" s="1" t="s">
        <v>316</v>
      </c>
      <c r="J187" t="str">
        <f t="shared" si="9"/>
        <v>attr3_3</v>
      </c>
      <c r="K187" t="s">
        <v>316</v>
      </c>
      <c r="L187" t="s">
        <v>317</v>
      </c>
      <c r="M187" t="s">
        <v>316</v>
      </c>
      <c r="N187" t="str">
        <f t="shared" si="10"/>
        <v>fwp2_attractive_03</v>
      </c>
      <c r="O187" t="s">
        <v>316</v>
      </c>
      <c r="P187" t="s">
        <v>500</v>
      </c>
      <c r="Q187" t="str">
        <f t="shared" si="11"/>
        <v>"attr3_3":"fwp2_attractive_03",</v>
      </c>
    </row>
    <row r="188" spans="1:17" hidden="1" x14ac:dyDescent="0.35">
      <c r="A188">
        <v>5</v>
      </c>
      <c r="B188">
        <v>186</v>
      </c>
      <c r="C188" t="s">
        <v>579</v>
      </c>
      <c r="D188" s="11"/>
      <c r="E188" t="s">
        <v>186</v>
      </c>
      <c r="G188" t="s">
        <v>242</v>
      </c>
      <c r="H188" t="s">
        <v>491</v>
      </c>
      <c r="I188" s="1" t="s">
        <v>316</v>
      </c>
      <c r="J188" t="str">
        <f t="shared" si="9"/>
        <v>sinc3_3</v>
      </c>
      <c r="K188" t="s">
        <v>316</v>
      </c>
      <c r="L188" t="s">
        <v>317</v>
      </c>
      <c r="M188" t="s">
        <v>316</v>
      </c>
      <c r="N188" t="str">
        <f t="shared" si="10"/>
        <v>fwp2_sincere_03</v>
      </c>
      <c r="O188" t="s">
        <v>316</v>
      </c>
      <c r="P188" t="s">
        <v>500</v>
      </c>
      <c r="Q188" t="str">
        <f t="shared" si="11"/>
        <v>"sinc3_3":"fwp2_sincere_03",</v>
      </c>
    </row>
    <row r="189" spans="1:17" hidden="1" x14ac:dyDescent="0.35">
      <c r="A189">
        <v>5</v>
      </c>
      <c r="B189">
        <v>187</v>
      </c>
      <c r="C189" t="s">
        <v>579</v>
      </c>
      <c r="D189" s="11"/>
      <c r="E189" t="s">
        <v>187</v>
      </c>
      <c r="G189" t="s">
        <v>243</v>
      </c>
      <c r="H189" t="s">
        <v>492</v>
      </c>
      <c r="I189" s="1" t="s">
        <v>316</v>
      </c>
      <c r="J189" t="str">
        <f t="shared" si="9"/>
        <v>intel3_3</v>
      </c>
      <c r="K189" t="s">
        <v>316</v>
      </c>
      <c r="L189" t="s">
        <v>317</v>
      </c>
      <c r="M189" t="s">
        <v>316</v>
      </c>
      <c r="N189" t="str">
        <f t="shared" si="10"/>
        <v>fwp2_intelligent_03</v>
      </c>
      <c r="O189" t="s">
        <v>316</v>
      </c>
      <c r="P189" t="s">
        <v>500</v>
      </c>
      <c r="Q189" t="str">
        <f t="shared" si="11"/>
        <v>"intel3_3":"fwp2_intelligent_03",</v>
      </c>
    </row>
    <row r="190" spans="1:17" hidden="1" x14ac:dyDescent="0.35">
      <c r="A190">
        <v>5</v>
      </c>
      <c r="B190">
        <v>188</v>
      </c>
      <c r="C190" t="s">
        <v>579</v>
      </c>
      <c r="D190" s="11"/>
      <c r="E190" t="s">
        <v>188</v>
      </c>
      <c r="G190" t="s">
        <v>244</v>
      </c>
      <c r="H190" t="s">
        <v>493</v>
      </c>
      <c r="I190" s="1" t="s">
        <v>316</v>
      </c>
      <c r="J190" t="str">
        <f t="shared" si="9"/>
        <v>fun3_3</v>
      </c>
      <c r="K190" t="s">
        <v>316</v>
      </c>
      <c r="L190" t="s">
        <v>317</v>
      </c>
      <c r="M190" t="s">
        <v>316</v>
      </c>
      <c r="N190" t="str">
        <f t="shared" si="10"/>
        <v>fwp2_fun_03</v>
      </c>
      <c r="O190" t="s">
        <v>316</v>
      </c>
      <c r="P190" t="s">
        <v>500</v>
      </c>
      <c r="Q190" t="str">
        <f t="shared" si="11"/>
        <v>"fun3_3":"fwp2_fun_03",</v>
      </c>
    </row>
    <row r="191" spans="1:17" hidden="1" x14ac:dyDescent="0.35">
      <c r="A191">
        <v>5</v>
      </c>
      <c r="B191">
        <v>189</v>
      </c>
      <c r="C191" t="s">
        <v>579</v>
      </c>
      <c r="D191" s="11"/>
      <c r="E191" t="s">
        <v>189</v>
      </c>
      <c r="G191" t="s">
        <v>245</v>
      </c>
      <c r="H191" t="s">
        <v>494</v>
      </c>
      <c r="I191" s="1" t="s">
        <v>316</v>
      </c>
      <c r="J191" t="str">
        <f t="shared" si="9"/>
        <v>amb3_3</v>
      </c>
      <c r="K191" t="s">
        <v>316</v>
      </c>
      <c r="L191" t="s">
        <v>317</v>
      </c>
      <c r="M191" t="s">
        <v>316</v>
      </c>
      <c r="N191" t="str">
        <f t="shared" si="10"/>
        <v>fwp2_ambitious_03</v>
      </c>
      <c r="O191" t="s">
        <v>316</v>
      </c>
      <c r="P191" t="s">
        <v>500</v>
      </c>
      <c r="Q191" t="str">
        <f t="shared" si="11"/>
        <v>"amb3_3":"fwp2_ambitious_03",</v>
      </c>
    </row>
    <row r="192" spans="1:17" hidden="1" x14ac:dyDescent="0.35">
      <c r="A192">
        <v>5</v>
      </c>
      <c r="B192">
        <v>190</v>
      </c>
      <c r="C192" t="s">
        <v>579</v>
      </c>
      <c r="D192" s="11"/>
      <c r="E192" t="s">
        <v>190</v>
      </c>
      <c r="G192" t="s">
        <v>246</v>
      </c>
      <c r="H192" t="s">
        <v>495</v>
      </c>
      <c r="I192" s="1" t="s">
        <v>316</v>
      </c>
      <c r="J192" t="str">
        <f t="shared" si="9"/>
        <v>attr5_3</v>
      </c>
      <c r="K192" t="s">
        <v>316</v>
      </c>
      <c r="L192" t="s">
        <v>317</v>
      </c>
      <c r="M192" t="s">
        <v>316</v>
      </c>
      <c r="N192" t="str">
        <f t="shared" si="10"/>
        <v>fwp2_attractive_05</v>
      </c>
      <c r="O192" t="s">
        <v>316</v>
      </c>
      <c r="P192" t="s">
        <v>500</v>
      </c>
      <c r="Q192" t="str">
        <f t="shared" si="11"/>
        <v>"attr5_3":"fwp2_attractive_05",</v>
      </c>
    </row>
    <row r="193" spans="1:17" hidden="1" x14ac:dyDescent="0.35">
      <c r="A193">
        <v>5</v>
      </c>
      <c r="B193">
        <v>191</v>
      </c>
      <c r="C193" t="s">
        <v>579</v>
      </c>
      <c r="D193" s="11"/>
      <c r="E193" t="s">
        <v>191</v>
      </c>
      <c r="G193" t="s">
        <v>247</v>
      </c>
      <c r="H193" t="s">
        <v>496</v>
      </c>
      <c r="I193" s="1" t="s">
        <v>316</v>
      </c>
      <c r="J193" t="str">
        <f t="shared" si="9"/>
        <v>sinc5_3</v>
      </c>
      <c r="K193" t="s">
        <v>316</v>
      </c>
      <c r="L193" t="s">
        <v>317</v>
      </c>
      <c r="M193" t="s">
        <v>316</v>
      </c>
      <c r="N193" t="str">
        <f t="shared" si="10"/>
        <v>fwp2_sincere_05</v>
      </c>
      <c r="O193" t="s">
        <v>316</v>
      </c>
      <c r="P193" t="s">
        <v>500</v>
      </c>
      <c r="Q193" t="str">
        <f t="shared" si="11"/>
        <v>"sinc5_3":"fwp2_sincere_05",</v>
      </c>
    </row>
    <row r="194" spans="1:17" hidden="1" x14ac:dyDescent="0.35">
      <c r="A194">
        <v>5</v>
      </c>
      <c r="B194">
        <v>192</v>
      </c>
      <c r="C194" t="s">
        <v>579</v>
      </c>
      <c r="D194" s="11"/>
      <c r="E194" t="s">
        <v>192</v>
      </c>
      <c r="G194" t="s">
        <v>248</v>
      </c>
      <c r="H194" t="s">
        <v>497</v>
      </c>
      <c r="I194" s="1" t="s">
        <v>316</v>
      </c>
      <c r="J194" t="str">
        <f t="shared" si="9"/>
        <v>intel5_3</v>
      </c>
      <c r="K194" t="s">
        <v>316</v>
      </c>
      <c r="L194" t="s">
        <v>317</v>
      </c>
      <c r="M194" t="s">
        <v>316</v>
      </c>
      <c r="N194" t="str">
        <f t="shared" si="10"/>
        <v>fwp2_intelligent_05</v>
      </c>
      <c r="O194" t="s">
        <v>316</v>
      </c>
      <c r="P194" t="s">
        <v>500</v>
      </c>
      <c r="Q194" t="str">
        <f t="shared" si="11"/>
        <v>"intel5_3":"fwp2_intelligent_05",</v>
      </c>
    </row>
    <row r="195" spans="1:17" hidden="1" x14ac:dyDescent="0.35">
      <c r="A195">
        <v>5</v>
      </c>
      <c r="B195">
        <v>193</v>
      </c>
      <c r="C195" t="s">
        <v>579</v>
      </c>
      <c r="D195" s="11"/>
      <c r="E195" t="s">
        <v>193</v>
      </c>
      <c r="G195" t="s">
        <v>249</v>
      </c>
      <c r="H195" t="s">
        <v>498</v>
      </c>
      <c r="I195" s="1" t="s">
        <v>316</v>
      </c>
      <c r="J195" t="str">
        <f t="shared" ref="J195:J196" si="12">E195</f>
        <v>fun5_3</v>
      </c>
      <c r="K195" t="s">
        <v>316</v>
      </c>
      <c r="L195" t="s">
        <v>317</v>
      </c>
      <c r="M195" t="s">
        <v>316</v>
      </c>
      <c r="N195" t="str">
        <f t="shared" ref="N195:N196" si="13">G195</f>
        <v>fwp2_fun_05</v>
      </c>
      <c r="O195" t="s">
        <v>316</v>
      </c>
      <c r="P195" t="s">
        <v>500</v>
      </c>
      <c r="Q195" t="str">
        <f t="shared" si="11"/>
        <v>"fun5_3":"fwp2_fun_05",</v>
      </c>
    </row>
    <row r="196" spans="1:17" hidden="1" x14ac:dyDescent="0.35">
      <c r="A196">
        <v>5</v>
      </c>
      <c r="B196">
        <v>194</v>
      </c>
      <c r="C196" t="s">
        <v>579</v>
      </c>
      <c r="D196" s="11"/>
      <c r="E196" t="s">
        <v>194</v>
      </c>
      <c r="G196" t="s">
        <v>250</v>
      </c>
      <c r="H196" t="s">
        <v>499</v>
      </c>
      <c r="I196" s="1" t="s">
        <v>316</v>
      </c>
      <c r="J196" t="str">
        <f t="shared" si="12"/>
        <v>amb5_3</v>
      </c>
      <c r="K196" t="s">
        <v>316</v>
      </c>
      <c r="L196" t="s">
        <v>317</v>
      </c>
      <c r="M196" t="s">
        <v>316</v>
      </c>
      <c r="N196" t="str">
        <f t="shared" si="13"/>
        <v>fwp2_ambitious_05</v>
      </c>
      <c r="O196" t="s">
        <v>316</v>
      </c>
      <c r="Q196" t="str">
        <f t="shared" si="11"/>
        <v>"amb5_3":"fwp2_ambitious_05"</v>
      </c>
    </row>
  </sheetData>
  <autoFilter ref="A1:Q196" xr:uid="{1E70B07C-D049-4067-8FD2-17B5794DA21E}">
    <filterColumn colId="4">
      <filters>
        <filter val="match"/>
        <filter val="match_es"/>
      </filters>
    </filterColumn>
  </autoFilter>
  <mergeCells count="3">
    <mergeCell ref="D99:D120"/>
    <mergeCell ref="D121:D157"/>
    <mergeCell ref="D158:D196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42A4E-E31B-4708-A09C-47D2E285C311}">
  <sheetPr>
    <tabColor rgb="FFFF0000"/>
  </sheetPr>
  <dimension ref="A1:C5"/>
  <sheetViews>
    <sheetView workbookViewId="0">
      <selection activeCell="A2" sqref="A2"/>
    </sheetView>
  </sheetViews>
  <sheetFormatPr baseColWidth="10" defaultRowHeight="14.5" x14ac:dyDescent="0.35"/>
  <cols>
    <col min="1" max="1" width="37.54296875" customWidth="1"/>
    <col min="2" max="2" width="91.81640625" customWidth="1"/>
    <col min="3" max="3" width="47.26953125" customWidth="1"/>
  </cols>
  <sheetData>
    <row r="1" spans="1:3" x14ac:dyDescent="0.35">
      <c r="A1" s="2" t="s">
        <v>567</v>
      </c>
      <c r="B1" s="2" t="s">
        <v>569</v>
      </c>
      <c r="C1" s="2" t="s">
        <v>570</v>
      </c>
    </row>
    <row r="2" spans="1:3" s="5" customFormat="1" ht="105.75" customHeight="1" x14ac:dyDescent="0.35">
      <c r="A2" s="6" t="s">
        <v>568</v>
      </c>
      <c r="B2" s="6" t="s">
        <v>581</v>
      </c>
      <c r="C2" s="12" t="s">
        <v>573</v>
      </c>
    </row>
    <row r="3" spans="1:3" s="5" customFormat="1" ht="108.75" customHeight="1" x14ac:dyDescent="0.35">
      <c r="A3" s="6" t="s">
        <v>571</v>
      </c>
      <c r="B3" s="6" t="s">
        <v>582</v>
      </c>
      <c r="C3" s="12"/>
    </row>
    <row r="4" spans="1:3" s="5" customFormat="1" ht="132.75" customHeight="1" x14ac:dyDescent="0.35">
      <c r="A4" s="6" t="s">
        <v>572</v>
      </c>
      <c r="B4" s="6" t="s">
        <v>580</v>
      </c>
      <c r="C4" s="12"/>
    </row>
    <row r="5" spans="1:3" x14ac:dyDescent="0.35">
      <c r="A5" s="4"/>
      <c r="B5" s="4"/>
      <c r="C5" s="4"/>
    </row>
  </sheetData>
  <autoFilter ref="A1:C2" xr:uid="{74E42A4E-E31B-4708-A09C-47D2E285C311}"/>
  <mergeCells count="1">
    <mergeCell ref="C2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Dictionnaire données</vt:lpstr>
      <vt:lpstr>Méthodologie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Jean-Yves Vuillequez</dc:creator>
  <cp:lastModifiedBy>Jean-Yves Vuillequez</cp:lastModifiedBy>
  <dcterms:created xsi:type="dcterms:W3CDTF">2025-04-01T12:59:35Z</dcterms:created>
  <dcterms:modified xsi:type="dcterms:W3CDTF">2026-01-17T18:15:40Z</dcterms:modified>
</cp:coreProperties>
</file>